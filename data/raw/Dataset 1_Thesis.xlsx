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isisazaro/Library/Mobile Documents/com~apple~CloudDocs/REPETIT/STUDY_Students/Artem Iasin/thesis/dim-ppp-lifecycle-valuation/"/>
    </mc:Choice>
  </mc:AlternateContent>
  <xr:revisionPtr revIDLastSave="0" documentId="13_ncr:1_{DC559299-C304-704D-BA2F-FA4800FCB970}" xr6:coauthVersionLast="47" xr6:coauthVersionMax="47" xr10:uidLastSave="{00000000-0000-0000-0000-000000000000}"/>
  <bookViews>
    <workbookView xWindow="0" yWindow="620" windowWidth="38400" windowHeight="19480" xr2:uid="{38F5F27F-34F0-0D48-AA3B-A4DCB646A6FA}"/>
  </bookViews>
  <sheets>
    <sheet name="Лист1" sheetId="1" r:id="rId1"/>
  </sheets>
  <definedNames>
    <definedName name="_xlnm._FilterDatabase" localSheetId="0" hidden="1">Лист1!$A$1:$AU$1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18" i="1"/>
  <c r="O19" i="1"/>
  <c r="O20" i="1"/>
  <c r="O21" i="1"/>
  <c r="O22" i="1"/>
  <c r="O27" i="1"/>
  <c r="O24" i="1"/>
  <c r="O3" i="1"/>
  <c r="O4" i="1"/>
  <c r="O5" i="1"/>
  <c r="O7" i="1"/>
  <c r="O8" i="1"/>
  <c r="O9" i="1"/>
  <c r="O10" i="1"/>
  <c r="O11" i="1"/>
  <c r="O12" i="1"/>
  <c r="O13" i="1"/>
  <c r="O14" i="1"/>
  <c r="O15" i="1"/>
  <c r="O16" i="1"/>
  <c r="O17" i="1"/>
  <c r="O23" i="1"/>
  <c r="O25" i="1"/>
  <c r="O26" i="1"/>
  <c r="O28" i="1"/>
  <c r="O29" i="1"/>
  <c r="M3" i="1"/>
  <c r="L3" i="1" s="1"/>
  <c r="M4" i="1"/>
  <c r="L4" i="1" s="1"/>
  <c r="M5" i="1"/>
  <c r="L5" i="1" s="1"/>
  <c r="M6" i="1"/>
  <c r="L6" i="1" s="1"/>
  <c r="M7" i="1"/>
  <c r="L7" i="1" s="1"/>
  <c r="M8" i="1"/>
  <c r="L8" i="1" s="1"/>
  <c r="M9" i="1"/>
  <c r="L9" i="1" s="1"/>
  <c r="M10" i="1"/>
  <c r="L10" i="1" s="1"/>
  <c r="M11" i="1"/>
  <c r="L11" i="1" s="1"/>
  <c r="M12" i="1"/>
  <c r="L12" i="1" s="1"/>
  <c r="M13" i="1"/>
  <c r="L13" i="1" s="1"/>
  <c r="M14" i="1"/>
  <c r="L14" i="1" s="1"/>
  <c r="M15" i="1"/>
  <c r="L15" i="1" s="1"/>
  <c r="M16" i="1"/>
  <c r="L16" i="1" s="1"/>
  <c r="M17" i="1"/>
  <c r="L17" i="1" s="1"/>
  <c r="M18" i="1"/>
  <c r="L18" i="1" s="1"/>
  <c r="M19" i="1"/>
  <c r="L19" i="1" s="1"/>
  <c r="M20" i="1"/>
  <c r="L20" i="1" s="1"/>
  <c r="M21" i="1"/>
  <c r="L21" i="1" s="1"/>
  <c r="M22" i="1"/>
  <c r="L22" i="1" s="1"/>
  <c r="M23" i="1"/>
  <c r="L23" i="1" s="1"/>
  <c r="M24" i="1"/>
  <c r="L24" i="1" s="1"/>
  <c r="M25" i="1"/>
  <c r="L25" i="1" s="1"/>
  <c r="M26" i="1"/>
  <c r="L26" i="1" s="1"/>
  <c r="M27" i="1"/>
  <c r="L27" i="1" s="1"/>
  <c r="M28" i="1"/>
  <c r="L28" i="1" s="1"/>
  <c r="M29" i="1"/>
  <c r="L29" i="1" s="1"/>
  <c r="M2" i="1"/>
  <c r="L2" i="1" s="1"/>
  <c r="O2" i="1"/>
  <c r="K28" i="1"/>
  <c r="J9" i="1"/>
  <c r="K9" i="1" s="1"/>
  <c r="J8" i="1"/>
  <c r="K8" i="1" s="1"/>
  <c r="J7" i="1"/>
  <c r="K7" i="1" s="1"/>
  <c r="J5" i="1"/>
  <c r="K5" i="1" s="1"/>
  <c r="J6" i="1"/>
  <c r="K6" i="1" s="1"/>
  <c r="J4" i="1"/>
  <c r="K4" i="1" s="1"/>
  <c r="J3" i="1"/>
  <c r="K3" i="1" s="1"/>
  <c r="J2" i="1"/>
  <c r="K2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8" i="1"/>
  <c r="J29" i="1"/>
  <c r="K29" i="1" s="1"/>
  <c r="J10" i="1"/>
  <c r="K10" i="1" s="1"/>
  <c r="J11" i="1"/>
  <c r="K11" i="1" s="1"/>
  <c r="J13" i="1"/>
  <c r="K13" i="1" s="1"/>
  <c r="J14" i="1"/>
  <c r="K14" i="1" s="1"/>
  <c r="J15" i="1"/>
  <c r="K15" i="1" s="1"/>
  <c r="J27" i="1"/>
  <c r="K27" i="1" s="1"/>
  <c r="J12" i="1"/>
  <c r="K12" i="1" s="1"/>
  <c r="Q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tc={C3199D7E-B600-4443-A4EC-301BDC181F37}</author>
    <author>tc={8563C4C1-225F-C947-8D6F-35A16B9E1B1D}</author>
  </authors>
  <commentList>
    <comment ref="L1" authorId="0" shapeId="0" xr:uid="{C3199D7E-B600-4443-A4EC-301BDC181F37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Month
</t>
      </text>
    </comment>
    <comment ref="M1" authorId="1" shapeId="0" xr:uid="{8563C4C1-225F-C947-8D6F-35A16B9E1B1D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Month
</t>
      </text>
    </comment>
  </commentList>
</comments>
</file>

<file path=xl/sharedStrings.xml><?xml version="1.0" encoding="utf-8"?>
<sst xmlns="http://schemas.openxmlformats.org/spreadsheetml/2006/main" count="304" uniqueCount="127">
  <si>
    <t>Country</t>
  </si>
  <si>
    <t>Project Name</t>
  </si>
  <si>
    <t>Sector</t>
  </si>
  <si>
    <t>Owner</t>
  </si>
  <si>
    <t>RU-001</t>
  </si>
  <si>
    <t>Russia</t>
  </si>
  <si>
    <t>Avtodor</t>
  </si>
  <si>
    <t>BOT</t>
  </si>
  <si>
    <t>RU-002</t>
  </si>
  <si>
    <t>Northern Capital Highway</t>
  </si>
  <si>
    <t>Concession</t>
  </si>
  <si>
    <t>RU-003</t>
  </si>
  <si>
    <t>Ring road SPB</t>
  </si>
  <si>
    <t>RU-004</t>
  </si>
  <si>
    <t>Eastern Exit from Ufa</t>
  </si>
  <si>
    <t>DBFMO</t>
  </si>
  <si>
    <t>RU-005</t>
  </si>
  <si>
    <t>Pulkovo Airport</t>
  </si>
  <si>
    <t>Northern Capital Gateway</t>
  </si>
  <si>
    <t>RU-006</t>
  </si>
  <si>
    <t>Vyksa Metallurgical Plant</t>
  </si>
  <si>
    <t>OMK</t>
  </si>
  <si>
    <t>RU-007</t>
  </si>
  <si>
    <t>Gelendzhik Airport</t>
  </si>
  <si>
    <t>RU-011</t>
  </si>
  <si>
    <t>Gas Processing Plant Ust-Luga</t>
  </si>
  <si>
    <t>Gazprom</t>
  </si>
  <si>
    <t>CN-001</t>
  </si>
  <si>
    <t>China</t>
  </si>
  <si>
    <t>Hong Kong–Zhuhai–Macao Bridge</t>
  </si>
  <si>
    <t>HZMB Authority</t>
  </si>
  <si>
    <t>CN-002</t>
  </si>
  <si>
    <t>Beijing Daxing International Airport</t>
  </si>
  <si>
    <t>CAAC</t>
  </si>
  <si>
    <t>CN-003</t>
  </si>
  <si>
    <t>Nanjing International Youth Cultural Centre</t>
  </si>
  <si>
    <t>Nanjing Government</t>
  </si>
  <si>
    <t>USA</t>
  </si>
  <si>
    <t>DBFOM</t>
  </si>
  <si>
    <t>US-002</t>
  </si>
  <si>
    <t>LAX Tom Bradley Terminal Expansion</t>
  </si>
  <si>
    <t>LAWA</t>
  </si>
  <si>
    <t>Public</t>
  </si>
  <si>
    <t>US-004</t>
  </si>
  <si>
    <t>SFO Terminal 1 Renovation</t>
  </si>
  <si>
    <t>SFO Airport</t>
  </si>
  <si>
    <t>CN-005</t>
  </si>
  <si>
    <t>Yuan Chen Highway</t>
  </si>
  <si>
    <t>Yunnan Transport</t>
  </si>
  <si>
    <t>№</t>
  </si>
  <si>
    <t>Toll road M11 (543-646 km and 646-684 km)</t>
  </si>
  <si>
    <t>Toll road WHSD</t>
  </si>
  <si>
    <t>Transport</t>
  </si>
  <si>
    <t>Utility and Energy</t>
  </si>
  <si>
    <t>Social</t>
  </si>
  <si>
    <t>SPV</t>
  </si>
  <si>
    <t>-</t>
  </si>
  <si>
    <t>VTB</t>
  </si>
  <si>
    <t>BIM Operation Cost if BIM was implemented just on this stage  (Million $)</t>
  </si>
  <si>
    <t>ID</t>
  </si>
  <si>
    <t>Construction delay, yes or no</t>
  </si>
  <si>
    <t>Budget overrun, yes or no</t>
  </si>
  <si>
    <t>CAPEX,mln $</t>
  </si>
  <si>
    <t>BIM at Design stage cost, mln $</t>
  </si>
  <si>
    <t>BIM at Operation stage, yes or no</t>
  </si>
  <si>
    <t>BIM at Construction stage, yes or no</t>
  </si>
  <si>
    <t>BIM at Design stage, yes or no</t>
  </si>
  <si>
    <t>BIM at Construction stage cost, mln $</t>
  </si>
  <si>
    <t>BIM at Operation stage cost, mln $</t>
  </si>
  <si>
    <t>BIM at Construction stage cost if BIM was implemented from the start, mln $</t>
  </si>
  <si>
    <t>BIM at Design stage cost if BIM was implemented just on this stage, mln $</t>
  </si>
  <si>
    <t>BIM at Construction stage cost if BIM was implemented just on this stage, mln $</t>
  </si>
  <si>
    <t>Term of the PPP agreement, month</t>
  </si>
  <si>
    <t>PPP mechanisms</t>
  </si>
  <si>
    <t>PPP, yes or no</t>
  </si>
  <si>
    <t>Date of the end of the PPP, year</t>
  </si>
  <si>
    <t>Start of the construction, year</t>
  </si>
  <si>
    <t>Proposed date of the end of the construction, year</t>
  </si>
  <si>
    <t>End of the construction, year</t>
  </si>
  <si>
    <t>Egypt</t>
  </si>
  <si>
    <t>Shopping  centre</t>
  </si>
  <si>
    <t>EG-001</t>
  </si>
  <si>
    <t>US-005</t>
  </si>
  <si>
    <t xml:space="preserve">Denver Health Sciences Centre </t>
  </si>
  <si>
    <t>US-006</t>
  </si>
  <si>
    <t>Aquarium Hilton Garden Inn</t>
  </si>
  <si>
    <t>One Island East</t>
  </si>
  <si>
    <t>CN-006</t>
  </si>
  <si>
    <t>Savannah State University</t>
  </si>
  <si>
    <t>US-007</t>
  </si>
  <si>
    <t>The Mansion on Peachtree</t>
  </si>
  <si>
    <t>US-008</t>
  </si>
  <si>
    <t>Emory Psychology Building</t>
  </si>
  <si>
    <t>US-009</t>
  </si>
  <si>
    <t>SA-001</t>
  </si>
  <si>
    <t>SA-002</t>
  </si>
  <si>
    <t>Sample project 1</t>
  </si>
  <si>
    <t>Sample project 2</t>
  </si>
  <si>
    <t>South Engineering Research Center</t>
  </si>
  <si>
    <t>North Engineering Research Center</t>
  </si>
  <si>
    <t>US-010</t>
  </si>
  <si>
    <t>US-011</t>
  </si>
  <si>
    <t xml:space="preserve">Istanbul Airport Terminal </t>
  </si>
  <si>
    <t xml:space="preserve">Cleveland Clinic Abu Dhabi Hospital (UAE) </t>
  </si>
  <si>
    <t>Turkey</t>
  </si>
  <si>
    <t>UAE</t>
  </si>
  <si>
    <t>UAE-001</t>
  </si>
  <si>
    <t>TRK-001</t>
  </si>
  <si>
    <t xml:space="preserve">One Vanderbilt Skyscraper </t>
  </si>
  <si>
    <t>US-012</t>
  </si>
  <si>
    <t>The People's Government of Honghe Prefecture</t>
  </si>
  <si>
    <t>Public entity</t>
  </si>
  <si>
    <t>Yunnan Construction Investment Group</t>
  </si>
  <si>
    <t>BIM at Design stage cost if BIM was implemented from the start, mln $</t>
  </si>
  <si>
    <t>BIM at Operation stage cost if BIM was implemented from the start, mln $</t>
  </si>
  <si>
    <t xml:space="preserve">Russian government </t>
  </si>
  <si>
    <t>Federal State Institution "North-West" Highway Administration</t>
  </si>
  <si>
    <t>Joint-Stock Company "WSD"</t>
  </si>
  <si>
    <t xml:space="preserve">
Two capitals highway</t>
  </si>
  <si>
    <t>Bashkir concession company</t>
  </si>
  <si>
    <t>St. Petersburg</t>
  </si>
  <si>
    <t>Design stage_CAPEX</t>
  </si>
  <si>
    <t xml:space="preserve">Construction stage_CAPEX </t>
  </si>
  <si>
    <t>Construction stage_CAPEX overrun</t>
  </si>
  <si>
    <t>Construction stage schedule</t>
  </si>
  <si>
    <t>Design stage schedule</t>
  </si>
  <si>
    <t>Construction stage schedule_delay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</si>
</sst>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4" fontId="2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4" fontId="2" fillId="4" borderId="0" xfId="0" applyNumberFormat="1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 vertical="center" wrapText="1"/>
    </xf>
    <xf numFmtId="4" fontId="2" fillId="0" borderId="0" xfId="0" applyNumberFormat="1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Артём Ясин" id="{6DB8ADA0-AECC-234F-9054-5DEB6F872FA7}" userId="b311d3c0e6a37f69" providerId="Windows Live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5-11-29T15:32:34.69" personId="{6DB8ADA0-AECC-234F-9054-5DEB6F872FA7}" id="{C3199D7E-B600-4443-A4EC-301BDC181F37}">
    <text xml:space="preserve">Month
</text>
  </threadedComment>
  <threadedComment ref="M1" dT="2025-11-29T15:32:54.77" personId="{6DB8ADA0-AECC-234F-9054-5DEB6F872FA7}" id="{8563C4C1-225F-C947-8D6F-35A16B9E1B1D}">
    <text xml:space="preserve">Month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F78FB-B49D-A245-88C2-8D703417C68F}">
  <dimension ref="A1:AJ34"/>
  <sheetViews>
    <sheetView tabSelected="1" workbookViewId="0">
      <selection activeCell="K35" sqref="K35"/>
    </sheetView>
  </sheetViews>
  <sheetFormatPr baseColWidth="10" defaultColWidth="11.6640625" defaultRowHeight="16" x14ac:dyDescent="0.2"/>
  <cols>
    <col min="1" max="3" width="11.6640625" style="3"/>
    <col min="4" max="4" width="38.83203125" style="3" customWidth="1"/>
    <col min="5" max="5" width="16.1640625" style="4" customWidth="1"/>
    <col min="6" max="8" width="11.6640625" style="4"/>
    <col min="9" max="9" width="15.6640625" style="3" bestFit="1" customWidth="1"/>
    <col min="10" max="10" width="22" style="3" customWidth="1"/>
    <col min="11" max="11" width="18.6640625" style="3" customWidth="1"/>
    <col min="12" max="12" width="20" style="3" customWidth="1"/>
    <col min="13" max="13" width="18.1640625" style="3" customWidth="1"/>
    <col min="14" max="14" width="16.5" style="3" customWidth="1"/>
    <col min="15" max="15" width="20" style="3" customWidth="1"/>
    <col min="16" max="16" width="16.1640625" style="3" customWidth="1"/>
    <col min="17" max="17" width="19.83203125" style="3" customWidth="1"/>
    <col min="18" max="21" width="11.6640625" style="3"/>
    <col min="22" max="36" width="11.6640625" style="4"/>
    <col min="37" max="16384" width="11.6640625" style="3"/>
  </cols>
  <sheetData>
    <row r="1" spans="1:36" s="2" customFormat="1" ht="48" customHeight="1" x14ac:dyDescent="0.2">
      <c r="A1" s="2" t="s">
        <v>49</v>
      </c>
      <c r="B1" s="2" t="s">
        <v>59</v>
      </c>
      <c r="C1" s="2" t="s">
        <v>0</v>
      </c>
      <c r="D1" s="2" t="s">
        <v>1</v>
      </c>
      <c r="E1" s="2" t="s">
        <v>2</v>
      </c>
      <c r="F1" s="2" t="s">
        <v>76</v>
      </c>
      <c r="G1" s="2" t="s">
        <v>77</v>
      </c>
      <c r="H1" s="2" t="s">
        <v>78</v>
      </c>
      <c r="I1" s="2" t="s">
        <v>62</v>
      </c>
      <c r="J1" s="18" t="s">
        <v>121</v>
      </c>
      <c r="K1" s="18" t="s">
        <v>122</v>
      </c>
      <c r="L1" s="18" t="s">
        <v>125</v>
      </c>
      <c r="M1" s="18" t="s">
        <v>124</v>
      </c>
      <c r="N1" s="2" t="s">
        <v>60</v>
      </c>
      <c r="O1" s="18" t="s">
        <v>126</v>
      </c>
      <c r="P1" s="2" t="s">
        <v>61</v>
      </c>
      <c r="Q1" s="18" t="s">
        <v>123</v>
      </c>
      <c r="R1" s="2" t="s">
        <v>74</v>
      </c>
      <c r="S1" s="2" t="s">
        <v>3</v>
      </c>
      <c r="T1" s="2" t="s">
        <v>55</v>
      </c>
      <c r="U1" s="2" t="s">
        <v>111</v>
      </c>
      <c r="V1" s="2" t="s">
        <v>72</v>
      </c>
      <c r="W1" s="2" t="s">
        <v>75</v>
      </c>
      <c r="X1" s="2" t="s">
        <v>73</v>
      </c>
      <c r="Y1" s="2" t="s">
        <v>66</v>
      </c>
      <c r="Z1" s="2" t="s">
        <v>65</v>
      </c>
      <c r="AA1" s="2" t="s">
        <v>64</v>
      </c>
      <c r="AB1" s="9" t="s">
        <v>63</v>
      </c>
      <c r="AC1" s="9" t="s">
        <v>67</v>
      </c>
      <c r="AD1" s="9" t="s">
        <v>68</v>
      </c>
      <c r="AE1" s="12" t="s">
        <v>113</v>
      </c>
      <c r="AF1" s="12" t="s">
        <v>69</v>
      </c>
      <c r="AG1" s="12" t="s">
        <v>114</v>
      </c>
      <c r="AH1" s="15" t="s">
        <v>70</v>
      </c>
      <c r="AI1" s="15" t="s">
        <v>71</v>
      </c>
      <c r="AJ1" s="15" t="s">
        <v>58</v>
      </c>
    </row>
    <row r="2" spans="1:36" s="1" customFormat="1" x14ac:dyDescent="0.2">
      <c r="A2" s="1">
        <v>1</v>
      </c>
      <c r="B2" s="1" t="s">
        <v>4</v>
      </c>
      <c r="C2" s="1" t="s">
        <v>5</v>
      </c>
      <c r="D2" s="1" t="s">
        <v>50</v>
      </c>
      <c r="E2" s="4" t="s">
        <v>52</v>
      </c>
      <c r="F2" s="8">
        <v>42186</v>
      </c>
      <c r="G2" s="8">
        <v>43405</v>
      </c>
      <c r="H2" s="8">
        <v>43770</v>
      </c>
      <c r="I2" s="5">
        <v>1068</v>
      </c>
      <c r="J2" s="5">
        <f>1%*I2</f>
        <v>10.68</v>
      </c>
      <c r="K2" s="5">
        <f>I2-J2</f>
        <v>1057.32</v>
      </c>
      <c r="L2" s="5">
        <f>25%*M2</f>
        <v>13</v>
      </c>
      <c r="M2" s="5">
        <f>DATEDIF(F2,H2,"M")</f>
        <v>52</v>
      </c>
      <c r="N2" s="4">
        <v>1</v>
      </c>
      <c r="O2" s="4">
        <f>DATEDIF(G2,H2,"M")</f>
        <v>12</v>
      </c>
      <c r="P2" s="4">
        <v>0</v>
      </c>
      <c r="Q2" s="4">
        <v>0</v>
      </c>
      <c r="R2" s="4">
        <v>1</v>
      </c>
      <c r="S2" s="1" t="s">
        <v>6</v>
      </c>
      <c r="T2" s="1" t="s">
        <v>118</v>
      </c>
      <c r="U2" s="1" t="s">
        <v>6</v>
      </c>
      <c r="V2" s="4">
        <v>27</v>
      </c>
      <c r="W2" s="4">
        <v>2041</v>
      </c>
      <c r="X2" s="4" t="s">
        <v>7</v>
      </c>
      <c r="Y2" s="4">
        <v>0</v>
      </c>
      <c r="Z2" s="4">
        <v>0</v>
      </c>
      <c r="AA2" s="4">
        <v>1</v>
      </c>
      <c r="AB2" s="10">
        <v>0</v>
      </c>
      <c r="AC2" s="10">
        <v>0</v>
      </c>
      <c r="AD2" s="10">
        <v>1.03</v>
      </c>
      <c r="AE2" s="13">
        <v>0.89600000000000013</v>
      </c>
      <c r="AF2" s="13">
        <v>0.35840000000000005</v>
      </c>
      <c r="AG2" s="13">
        <v>0.14336000000000002</v>
      </c>
      <c r="AH2" s="16">
        <v>0.89600000000000013</v>
      </c>
      <c r="AI2" s="16">
        <v>1.2544000000000002</v>
      </c>
      <c r="AJ2" s="16">
        <v>1.0393600000000001</v>
      </c>
    </row>
    <row r="3" spans="1:36" s="1" customFormat="1" x14ac:dyDescent="0.2">
      <c r="A3" s="1">
        <v>2</v>
      </c>
      <c r="B3" s="1" t="s">
        <v>8</v>
      </c>
      <c r="C3" s="1" t="s">
        <v>5</v>
      </c>
      <c r="D3" s="1" t="s">
        <v>51</v>
      </c>
      <c r="E3" s="4" t="s">
        <v>52</v>
      </c>
      <c r="F3" s="8">
        <v>38687</v>
      </c>
      <c r="G3" s="8">
        <v>42461</v>
      </c>
      <c r="H3" s="8">
        <v>42705</v>
      </c>
      <c r="I3" s="5">
        <v>7490</v>
      </c>
      <c r="J3" s="5">
        <f>1%*I3</f>
        <v>74.900000000000006</v>
      </c>
      <c r="K3" s="5">
        <f t="shared" ref="K3:K29" si="0">I3-J3</f>
        <v>7415.1</v>
      </c>
      <c r="L3" s="5">
        <f t="shared" ref="L3:L29" si="1">25%*M3</f>
        <v>33</v>
      </c>
      <c r="M3" s="5">
        <f t="shared" ref="M3:M29" si="2">DATEDIF(F3,H3,"M")</f>
        <v>132</v>
      </c>
      <c r="N3" s="4">
        <v>1</v>
      </c>
      <c r="O3" s="4">
        <f t="shared" ref="O3:O29" si="3">DATEDIF(G3,H3,"M")</f>
        <v>8</v>
      </c>
      <c r="P3" s="4">
        <v>0</v>
      </c>
      <c r="Q3" s="4">
        <v>0</v>
      </c>
      <c r="R3" s="4">
        <v>1</v>
      </c>
      <c r="S3" s="1" t="s">
        <v>115</v>
      </c>
      <c r="T3" s="1" t="s">
        <v>9</v>
      </c>
      <c r="U3" s="1" t="s">
        <v>117</v>
      </c>
      <c r="V3" s="4">
        <v>25</v>
      </c>
      <c r="W3" s="4">
        <v>2042</v>
      </c>
      <c r="X3" s="4" t="s">
        <v>10</v>
      </c>
      <c r="Y3" s="4">
        <v>0</v>
      </c>
      <c r="Z3" s="4">
        <v>0</v>
      </c>
      <c r="AA3" s="4">
        <v>0</v>
      </c>
      <c r="AB3" s="10">
        <v>2.9960000000000004</v>
      </c>
      <c r="AC3" s="10">
        <v>1.1984000000000001</v>
      </c>
      <c r="AD3" s="10">
        <v>0.47936000000000006</v>
      </c>
      <c r="AE3" s="13">
        <v>3</v>
      </c>
      <c r="AF3" s="13">
        <v>4.2</v>
      </c>
      <c r="AG3" s="13">
        <v>3.5</v>
      </c>
      <c r="AH3" s="16">
        <v>2.9960000000000004</v>
      </c>
      <c r="AI3" s="16">
        <v>4.1944000000000008</v>
      </c>
      <c r="AJ3" s="16">
        <v>3.4753600000000007</v>
      </c>
    </row>
    <row r="4" spans="1:36" s="1" customFormat="1" x14ac:dyDescent="0.2">
      <c r="A4" s="1">
        <v>3</v>
      </c>
      <c r="B4" s="1" t="s">
        <v>11</v>
      </c>
      <c r="C4" s="1" t="s">
        <v>5</v>
      </c>
      <c r="D4" s="1" t="s">
        <v>12</v>
      </c>
      <c r="E4" s="4" t="s">
        <v>52</v>
      </c>
      <c r="F4" s="8">
        <v>37043</v>
      </c>
      <c r="G4" s="8">
        <v>39783</v>
      </c>
      <c r="H4" s="8">
        <v>40878</v>
      </c>
      <c r="I4" s="5">
        <v>20700</v>
      </c>
      <c r="J4" s="5">
        <f>1%*I4</f>
        <v>207</v>
      </c>
      <c r="K4" s="5">
        <f t="shared" si="0"/>
        <v>20493</v>
      </c>
      <c r="L4" s="5">
        <f t="shared" si="1"/>
        <v>31.5</v>
      </c>
      <c r="M4" s="5">
        <f t="shared" si="2"/>
        <v>126</v>
      </c>
      <c r="N4" s="4">
        <v>1</v>
      </c>
      <c r="O4" s="4">
        <f t="shared" si="3"/>
        <v>36</v>
      </c>
      <c r="P4" s="4">
        <v>0</v>
      </c>
      <c r="Q4" s="4">
        <v>0</v>
      </c>
      <c r="R4" s="4">
        <v>0</v>
      </c>
      <c r="S4" s="1" t="s">
        <v>115</v>
      </c>
      <c r="T4" s="1" t="s">
        <v>116</v>
      </c>
      <c r="U4" s="1" t="s">
        <v>115</v>
      </c>
      <c r="V4" s="4" t="s">
        <v>56</v>
      </c>
      <c r="W4" s="4" t="s">
        <v>56</v>
      </c>
      <c r="X4" s="4" t="s">
        <v>56</v>
      </c>
      <c r="Y4" s="4">
        <v>0</v>
      </c>
      <c r="Z4" s="4">
        <v>0</v>
      </c>
      <c r="AA4" s="4">
        <v>0</v>
      </c>
      <c r="AB4" s="10">
        <v>1.7652000000000001</v>
      </c>
      <c r="AC4" s="10">
        <v>0.70608000000000004</v>
      </c>
      <c r="AD4" s="10">
        <v>0.28243200000000002</v>
      </c>
      <c r="AE4" s="13">
        <v>1.7652000000000001</v>
      </c>
      <c r="AF4" s="13">
        <v>0.70608000000000004</v>
      </c>
      <c r="AG4" s="13">
        <v>0.28243200000000002</v>
      </c>
      <c r="AH4" s="16">
        <v>1.7652000000000001</v>
      </c>
      <c r="AI4" s="16">
        <v>2.4712800000000001</v>
      </c>
      <c r="AJ4" s="16">
        <v>2.0476320000000001</v>
      </c>
    </row>
    <row r="5" spans="1:36" s="1" customFormat="1" x14ac:dyDescent="0.2">
      <c r="A5" s="1">
        <v>4</v>
      </c>
      <c r="B5" s="1" t="s">
        <v>13</v>
      </c>
      <c r="C5" s="1" t="s">
        <v>5</v>
      </c>
      <c r="D5" s="1" t="s">
        <v>14</v>
      </c>
      <c r="E5" s="4" t="s">
        <v>52</v>
      </c>
      <c r="F5" s="8">
        <v>44166</v>
      </c>
      <c r="G5" s="8">
        <v>45231</v>
      </c>
      <c r="H5" s="8">
        <v>45352</v>
      </c>
      <c r="I5" s="5">
        <v>557</v>
      </c>
      <c r="J5" s="5">
        <f>1.5%*I5</f>
        <v>8.3550000000000004</v>
      </c>
      <c r="K5" s="5">
        <f t="shared" si="0"/>
        <v>548.64499999999998</v>
      </c>
      <c r="L5" s="5">
        <f t="shared" si="1"/>
        <v>9.75</v>
      </c>
      <c r="M5" s="5">
        <f t="shared" si="2"/>
        <v>39</v>
      </c>
      <c r="N5" s="4">
        <v>1</v>
      </c>
      <c r="O5" s="4">
        <f t="shared" si="3"/>
        <v>4</v>
      </c>
      <c r="P5" s="4">
        <v>0</v>
      </c>
      <c r="Q5" s="4">
        <v>0</v>
      </c>
      <c r="R5" s="4">
        <v>1</v>
      </c>
      <c r="S5" s="1" t="s">
        <v>115</v>
      </c>
      <c r="T5" s="1" t="s">
        <v>119</v>
      </c>
      <c r="U5" s="1" t="s">
        <v>6</v>
      </c>
      <c r="V5" s="4">
        <v>25</v>
      </c>
      <c r="W5" s="4"/>
      <c r="X5" s="4" t="s">
        <v>15</v>
      </c>
      <c r="Y5" s="4">
        <v>1</v>
      </c>
      <c r="Z5" s="4">
        <v>1</v>
      </c>
      <c r="AA5" s="4">
        <v>0</v>
      </c>
      <c r="AB5" s="10">
        <v>0.21880000000000002</v>
      </c>
      <c r="AC5" s="10">
        <v>8.7520000000000014E-2</v>
      </c>
      <c r="AD5" s="10">
        <v>3.5008000000000004E-2</v>
      </c>
      <c r="AE5" s="13">
        <v>0.21880000000000002</v>
      </c>
      <c r="AF5" s="13">
        <v>8.7520000000000014E-2</v>
      </c>
      <c r="AG5" s="13">
        <v>3.5008000000000004E-2</v>
      </c>
      <c r="AH5" s="16">
        <v>0.21880000000000002</v>
      </c>
      <c r="AI5" s="16">
        <v>0.30632000000000004</v>
      </c>
      <c r="AJ5" s="16">
        <v>0.25380800000000003</v>
      </c>
    </row>
    <row r="6" spans="1:36" s="1" customFormat="1" x14ac:dyDescent="0.2">
      <c r="A6" s="1">
        <v>5</v>
      </c>
      <c r="B6" s="1" t="s">
        <v>16</v>
      </c>
      <c r="C6" s="1" t="s">
        <v>5</v>
      </c>
      <c r="D6" s="1" t="s">
        <v>17</v>
      </c>
      <c r="E6" s="4" t="s">
        <v>52</v>
      </c>
      <c r="F6" s="8">
        <v>40299</v>
      </c>
      <c r="G6" s="8">
        <v>41791</v>
      </c>
      <c r="H6" s="8">
        <v>41609</v>
      </c>
      <c r="I6" s="5">
        <v>1600</v>
      </c>
      <c r="J6" s="5">
        <f>2%*I6</f>
        <v>32</v>
      </c>
      <c r="K6" s="5">
        <f t="shared" si="0"/>
        <v>1568</v>
      </c>
      <c r="L6" s="5">
        <f t="shared" si="1"/>
        <v>10.75</v>
      </c>
      <c r="M6" s="5">
        <f t="shared" si="2"/>
        <v>43</v>
      </c>
      <c r="N6" s="4">
        <v>0</v>
      </c>
      <c r="O6" s="4">
        <f>-DATEDIF(H6,G6,"M")</f>
        <v>-6</v>
      </c>
      <c r="P6" s="4">
        <v>0</v>
      </c>
      <c r="Q6" s="4">
        <v>0</v>
      </c>
      <c r="R6" s="4">
        <v>1</v>
      </c>
      <c r="S6" s="1" t="s">
        <v>120</v>
      </c>
      <c r="T6" s="1" t="s">
        <v>18</v>
      </c>
      <c r="U6" s="1" t="s">
        <v>17</v>
      </c>
      <c r="V6" s="4">
        <v>30</v>
      </c>
      <c r="W6" s="4">
        <v>2039</v>
      </c>
      <c r="X6" s="4" t="s">
        <v>7</v>
      </c>
      <c r="Y6" s="4">
        <v>0</v>
      </c>
      <c r="Z6" s="4">
        <v>0</v>
      </c>
      <c r="AA6" s="4">
        <v>0</v>
      </c>
      <c r="AB6" s="10">
        <v>0.63600000000000012</v>
      </c>
      <c r="AC6" s="10">
        <v>0.25440000000000007</v>
      </c>
      <c r="AD6" s="10">
        <v>0.10176000000000003</v>
      </c>
      <c r="AE6" s="13">
        <v>0.63600000000000012</v>
      </c>
      <c r="AF6" s="13">
        <v>0.25440000000000007</v>
      </c>
      <c r="AG6" s="13">
        <v>0.10176000000000003</v>
      </c>
      <c r="AH6" s="16">
        <v>0.63600000000000012</v>
      </c>
      <c r="AI6" s="16">
        <v>0.89040000000000019</v>
      </c>
      <c r="AJ6" s="16">
        <v>0.73776000000000019</v>
      </c>
    </row>
    <row r="7" spans="1:36" s="1" customFormat="1" x14ac:dyDescent="0.2">
      <c r="A7" s="1">
        <v>6</v>
      </c>
      <c r="B7" s="1" t="s">
        <v>19</v>
      </c>
      <c r="C7" s="1" t="s">
        <v>5</v>
      </c>
      <c r="D7" s="1" t="s">
        <v>20</v>
      </c>
      <c r="E7" s="4" t="s">
        <v>53</v>
      </c>
      <c r="F7" s="8">
        <v>43922</v>
      </c>
      <c r="G7" s="8">
        <v>45505</v>
      </c>
      <c r="H7" s="8">
        <v>45778</v>
      </c>
      <c r="I7" s="5">
        <v>2070</v>
      </c>
      <c r="J7" s="5">
        <f>1%*I7</f>
        <v>20.7</v>
      </c>
      <c r="K7" s="5">
        <f t="shared" si="0"/>
        <v>2049.3000000000002</v>
      </c>
      <c r="L7" s="5">
        <f t="shared" si="1"/>
        <v>15.25</v>
      </c>
      <c r="M7" s="5">
        <f t="shared" si="2"/>
        <v>61</v>
      </c>
      <c r="N7" s="4">
        <v>1</v>
      </c>
      <c r="O7" s="4">
        <f t="shared" si="3"/>
        <v>9</v>
      </c>
      <c r="P7" s="4">
        <v>1</v>
      </c>
      <c r="Q7" s="4">
        <v>500</v>
      </c>
      <c r="R7" s="4">
        <v>0</v>
      </c>
      <c r="S7" s="1" t="s">
        <v>21</v>
      </c>
      <c r="T7" s="1" t="s">
        <v>56</v>
      </c>
      <c r="U7" s="1" t="s">
        <v>56</v>
      </c>
      <c r="V7" s="4" t="s">
        <v>56</v>
      </c>
      <c r="W7" s="4" t="s">
        <v>56</v>
      </c>
      <c r="X7" s="4" t="s">
        <v>56</v>
      </c>
      <c r="Y7" s="4">
        <v>1</v>
      </c>
      <c r="Z7" s="4">
        <v>0</v>
      </c>
      <c r="AA7" s="4">
        <v>0</v>
      </c>
      <c r="AB7" s="10">
        <v>0.80400000000000016</v>
      </c>
      <c r="AC7" s="10">
        <v>0.32160000000000011</v>
      </c>
      <c r="AD7" s="10">
        <v>0.12864000000000006</v>
      </c>
      <c r="AE7" s="13">
        <v>0.80400000000000016</v>
      </c>
      <c r="AF7" s="13">
        <v>0.32160000000000011</v>
      </c>
      <c r="AG7" s="13">
        <v>0.12864000000000006</v>
      </c>
      <c r="AH7" s="16">
        <v>0.80400000000000016</v>
      </c>
      <c r="AI7" s="16">
        <v>1.1256000000000004</v>
      </c>
      <c r="AJ7" s="16">
        <v>0.93264000000000025</v>
      </c>
    </row>
    <row r="8" spans="1:36" s="1" customFormat="1" x14ac:dyDescent="0.2">
      <c r="A8" s="1">
        <v>7</v>
      </c>
      <c r="B8" s="1" t="s">
        <v>22</v>
      </c>
      <c r="C8" s="1" t="s">
        <v>5</v>
      </c>
      <c r="D8" s="1" t="s">
        <v>23</v>
      </c>
      <c r="E8" s="4" t="s">
        <v>52</v>
      </c>
      <c r="F8" s="8">
        <v>43983</v>
      </c>
      <c r="G8" s="8">
        <v>44531</v>
      </c>
      <c r="H8" s="8">
        <v>44531</v>
      </c>
      <c r="I8" s="5">
        <v>82.9</v>
      </c>
      <c r="J8" s="5">
        <f>3%*I8</f>
        <v>2.4870000000000001</v>
      </c>
      <c r="K8" s="5">
        <f t="shared" si="0"/>
        <v>80.413000000000011</v>
      </c>
      <c r="L8" s="5">
        <f t="shared" si="1"/>
        <v>4.5</v>
      </c>
      <c r="M8" s="5">
        <f t="shared" si="2"/>
        <v>18</v>
      </c>
      <c r="N8" s="4">
        <v>0</v>
      </c>
      <c r="O8" s="4">
        <f t="shared" si="3"/>
        <v>0</v>
      </c>
      <c r="P8" s="4">
        <v>0</v>
      </c>
      <c r="Q8" s="4">
        <v>0</v>
      </c>
      <c r="R8" s="4">
        <v>0</v>
      </c>
      <c r="S8" s="1" t="s">
        <v>57</v>
      </c>
      <c r="T8" s="1" t="s">
        <v>56</v>
      </c>
      <c r="U8" s="1" t="s">
        <v>56</v>
      </c>
      <c r="V8" s="4" t="s">
        <v>56</v>
      </c>
      <c r="W8" s="4" t="s">
        <v>56</v>
      </c>
      <c r="X8" s="4" t="s">
        <v>56</v>
      </c>
      <c r="Y8" s="4">
        <v>1</v>
      </c>
      <c r="Z8" s="4">
        <v>0</v>
      </c>
      <c r="AA8" s="4">
        <v>0</v>
      </c>
      <c r="AB8" s="10">
        <v>3.3840000000000002E-2</v>
      </c>
      <c r="AC8" s="10">
        <v>1.3536000000000001E-2</v>
      </c>
      <c r="AD8" s="10">
        <v>5.4144000000000006E-3</v>
      </c>
      <c r="AE8" s="13">
        <v>3.3840000000000002E-2</v>
      </c>
      <c r="AF8" s="13">
        <v>1.3536000000000001E-2</v>
      </c>
      <c r="AG8" s="13">
        <v>5.4144000000000006E-3</v>
      </c>
      <c r="AH8" s="16">
        <v>3.3840000000000002E-2</v>
      </c>
      <c r="AI8" s="16">
        <v>4.7376000000000001E-2</v>
      </c>
      <c r="AJ8" s="16">
        <v>3.9254400000000002E-2</v>
      </c>
    </row>
    <row r="9" spans="1:36" s="1" customFormat="1" x14ac:dyDescent="0.2">
      <c r="A9" s="1">
        <v>8</v>
      </c>
      <c r="B9" s="1" t="s">
        <v>24</v>
      </c>
      <c r="C9" s="1" t="s">
        <v>5</v>
      </c>
      <c r="D9" s="1" t="s">
        <v>25</v>
      </c>
      <c r="E9" s="4" t="s">
        <v>53</v>
      </c>
      <c r="F9" s="8">
        <v>44317</v>
      </c>
      <c r="G9" s="8">
        <v>45809</v>
      </c>
      <c r="H9" s="8">
        <v>46419</v>
      </c>
      <c r="I9" s="5">
        <v>3390</v>
      </c>
      <c r="J9" s="5">
        <f t="shared" ref="J9:J29" si="4">5%*I9</f>
        <v>169.5</v>
      </c>
      <c r="K9" s="5">
        <f t="shared" si="0"/>
        <v>3220.5</v>
      </c>
      <c r="L9" s="5">
        <f t="shared" si="1"/>
        <v>17.25</v>
      </c>
      <c r="M9" s="5">
        <f t="shared" si="2"/>
        <v>69</v>
      </c>
      <c r="N9" s="4">
        <v>1</v>
      </c>
      <c r="O9" s="4">
        <f t="shared" si="3"/>
        <v>20</v>
      </c>
      <c r="P9" s="4">
        <v>1</v>
      </c>
      <c r="Q9" s="4">
        <v>600</v>
      </c>
      <c r="R9" s="4">
        <v>0</v>
      </c>
      <c r="S9" s="1" t="s">
        <v>26</v>
      </c>
      <c r="T9" s="1" t="s">
        <v>56</v>
      </c>
      <c r="U9" s="1" t="s">
        <v>56</v>
      </c>
      <c r="V9" s="4" t="s">
        <v>56</v>
      </c>
      <c r="W9" s="4" t="s">
        <v>56</v>
      </c>
      <c r="X9" s="4" t="s">
        <v>56</v>
      </c>
      <c r="Y9" s="4">
        <v>1</v>
      </c>
      <c r="Z9" s="4">
        <v>0</v>
      </c>
      <c r="AA9" s="4">
        <v>0</v>
      </c>
      <c r="AB9" s="10">
        <v>5.7200000000000008E-2</v>
      </c>
      <c r="AC9" s="10">
        <v>2.2880000000000005E-2</v>
      </c>
      <c r="AD9" s="10">
        <v>9.1520000000000021E-3</v>
      </c>
      <c r="AE9" s="13">
        <v>5.7200000000000008E-2</v>
      </c>
      <c r="AF9" s="13">
        <v>2.2880000000000005E-2</v>
      </c>
      <c r="AG9" s="13">
        <v>9.1520000000000021E-3</v>
      </c>
      <c r="AH9" s="16">
        <v>5.7200000000000008E-2</v>
      </c>
      <c r="AI9" s="16">
        <v>8.0080000000000012E-2</v>
      </c>
      <c r="AJ9" s="16">
        <v>6.6352000000000008E-2</v>
      </c>
    </row>
    <row r="10" spans="1:36" s="1" customFormat="1" x14ac:dyDescent="0.2">
      <c r="A10" s="1">
        <v>9</v>
      </c>
      <c r="B10" s="1" t="s">
        <v>27</v>
      </c>
      <c r="C10" s="1" t="s">
        <v>28</v>
      </c>
      <c r="D10" s="1" t="s">
        <v>29</v>
      </c>
      <c r="E10" s="4" t="s">
        <v>52</v>
      </c>
      <c r="F10" s="8">
        <v>40148</v>
      </c>
      <c r="G10" s="8">
        <v>42522</v>
      </c>
      <c r="H10" s="8">
        <v>43132</v>
      </c>
      <c r="I10" s="5">
        <v>18800</v>
      </c>
      <c r="J10" s="5">
        <f t="shared" si="4"/>
        <v>940</v>
      </c>
      <c r="K10" s="5">
        <f t="shared" si="0"/>
        <v>17860</v>
      </c>
      <c r="L10" s="5">
        <f t="shared" si="1"/>
        <v>24.5</v>
      </c>
      <c r="M10" s="5">
        <f t="shared" si="2"/>
        <v>98</v>
      </c>
      <c r="N10" s="4">
        <v>1</v>
      </c>
      <c r="O10" s="4">
        <f t="shared" si="3"/>
        <v>20</v>
      </c>
      <c r="P10" s="4">
        <v>0</v>
      </c>
      <c r="Q10" s="4">
        <v>1.25</v>
      </c>
      <c r="R10" s="4">
        <v>1</v>
      </c>
      <c r="S10" s="1" t="s">
        <v>30</v>
      </c>
      <c r="T10" s="1" t="s">
        <v>56</v>
      </c>
      <c r="U10" s="1" t="s">
        <v>56</v>
      </c>
      <c r="V10" s="4" t="s">
        <v>56</v>
      </c>
      <c r="W10" s="4" t="s">
        <v>56</v>
      </c>
      <c r="X10" s="4" t="s">
        <v>7</v>
      </c>
      <c r="Y10" s="4">
        <v>1</v>
      </c>
      <c r="Z10" s="4">
        <v>1</v>
      </c>
      <c r="AA10" s="4">
        <v>0</v>
      </c>
      <c r="AB10" s="10">
        <v>8</v>
      </c>
      <c r="AC10" s="10">
        <v>7</v>
      </c>
      <c r="AD10" s="10">
        <v>0</v>
      </c>
      <c r="AE10" s="13">
        <v>8</v>
      </c>
      <c r="AF10" s="13">
        <v>7</v>
      </c>
      <c r="AG10" s="13">
        <v>5</v>
      </c>
      <c r="AH10" s="16">
        <v>8</v>
      </c>
      <c r="AI10" s="16">
        <v>7</v>
      </c>
      <c r="AJ10" s="16">
        <v>13</v>
      </c>
    </row>
    <row r="11" spans="1:36" s="1" customFormat="1" x14ac:dyDescent="0.2">
      <c r="A11" s="1">
        <v>10</v>
      </c>
      <c r="B11" s="1" t="s">
        <v>31</v>
      </c>
      <c r="C11" s="1" t="s">
        <v>28</v>
      </c>
      <c r="D11" s="1" t="s">
        <v>32</v>
      </c>
      <c r="E11" s="4" t="s">
        <v>52</v>
      </c>
      <c r="F11" s="8">
        <v>41974</v>
      </c>
      <c r="G11" s="8">
        <v>43709</v>
      </c>
      <c r="H11" s="8">
        <v>43709</v>
      </c>
      <c r="I11" s="5">
        <v>11400</v>
      </c>
      <c r="J11" s="5">
        <f t="shared" si="4"/>
        <v>570</v>
      </c>
      <c r="K11" s="5">
        <f t="shared" si="0"/>
        <v>10830</v>
      </c>
      <c r="L11" s="5">
        <f t="shared" si="1"/>
        <v>14.25</v>
      </c>
      <c r="M11" s="5">
        <f t="shared" si="2"/>
        <v>57</v>
      </c>
      <c r="N11" s="4">
        <v>0</v>
      </c>
      <c r="O11" s="4">
        <f t="shared" si="3"/>
        <v>0</v>
      </c>
      <c r="P11" s="4">
        <v>0</v>
      </c>
      <c r="Q11" s="5">
        <v>200</v>
      </c>
      <c r="R11" s="6">
        <v>1</v>
      </c>
      <c r="S11" s="1" t="s">
        <v>33</v>
      </c>
      <c r="T11" s="1" t="s">
        <v>56</v>
      </c>
      <c r="U11" s="1" t="s">
        <v>56</v>
      </c>
      <c r="V11" s="4" t="s">
        <v>56</v>
      </c>
      <c r="W11" s="4" t="s">
        <v>56</v>
      </c>
      <c r="X11" s="4" t="s">
        <v>15</v>
      </c>
      <c r="Y11" s="4">
        <v>1</v>
      </c>
      <c r="Z11" s="4">
        <v>1</v>
      </c>
      <c r="AA11" s="4">
        <v>0</v>
      </c>
      <c r="AB11" s="10">
        <v>4.8000000000000007</v>
      </c>
      <c r="AC11" s="10">
        <v>4.1999999999999993</v>
      </c>
      <c r="AD11" s="10">
        <v>0</v>
      </c>
      <c r="AE11" s="13">
        <v>4.8000000000000007</v>
      </c>
      <c r="AF11" s="13">
        <v>4.1999999999999993</v>
      </c>
      <c r="AG11" s="13">
        <v>3.2</v>
      </c>
      <c r="AH11" s="16">
        <v>4.8000000000000007</v>
      </c>
      <c r="AI11" s="16">
        <v>4.1999999999999993</v>
      </c>
      <c r="AJ11" s="16">
        <v>8</v>
      </c>
    </row>
    <row r="12" spans="1:36" s="1" customFormat="1" x14ac:dyDescent="0.2">
      <c r="A12" s="1">
        <v>11</v>
      </c>
      <c r="B12" s="1" t="s">
        <v>34</v>
      </c>
      <c r="C12" s="1" t="s">
        <v>28</v>
      </c>
      <c r="D12" s="1" t="s">
        <v>35</v>
      </c>
      <c r="E12" s="4" t="s">
        <v>54</v>
      </c>
      <c r="F12" s="8">
        <v>40575</v>
      </c>
      <c r="G12" s="8">
        <v>41791</v>
      </c>
      <c r="H12" s="8">
        <v>41791</v>
      </c>
      <c r="I12" s="5">
        <v>2300</v>
      </c>
      <c r="J12" s="5">
        <f t="shared" si="4"/>
        <v>115</v>
      </c>
      <c r="K12" s="5">
        <f t="shared" si="0"/>
        <v>2185</v>
      </c>
      <c r="L12" s="5">
        <f t="shared" si="1"/>
        <v>10</v>
      </c>
      <c r="M12" s="5">
        <f t="shared" si="2"/>
        <v>40</v>
      </c>
      <c r="N12" s="4">
        <v>0</v>
      </c>
      <c r="O12" s="4">
        <f t="shared" si="3"/>
        <v>0</v>
      </c>
      <c r="P12" s="4">
        <v>1</v>
      </c>
      <c r="Q12" s="4">
        <v>50</v>
      </c>
      <c r="R12" s="4">
        <v>0</v>
      </c>
      <c r="S12" s="1" t="s">
        <v>36</v>
      </c>
      <c r="T12" s="1" t="s">
        <v>56</v>
      </c>
      <c r="U12" s="1" t="s">
        <v>56</v>
      </c>
      <c r="V12" s="4" t="s">
        <v>56</v>
      </c>
      <c r="W12" s="4" t="s">
        <v>56</v>
      </c>
      <c r="X12" s="4" t="s">
        <v>56</v>
      </c>
      <c r="Y12" s="4">
        <v>1</v>
      </c>
      <c r="Z12" s="4">
        <v>1</v>
      </c>
      <c r="AA12" s="4">
        <v>0</v>
      </c>
      <c r="AB12" s="10">
        <v>0.60000000000000009</v>
      </c>
      <c r="AC12" s="10">
        <v>0.52499999999999991</v>
      </c>
      <c r="AD12" s="10">
        <v>0</v>
      </c>
      <c r="AE12" s="13">
        <v>0.60000000000000009</v>
      </c>
      <c r="AF12" s="13">
        <v>0.52499999999999991</v>
      </c>
      <c r="AG12" s="13">
        <v>0.4</v>
      </c>
      <c r="AH12" s="16">
        <v>0.60000000000000009</v>
      </c>
      <c r="AI12" s="16">
        <v>0.52499999999999991</v>
      </c>
      <c r="AJ12" s="16">
        <v>1</v>
      </c>
    </row>
    <row r="13" spans="1:36" s="1" customFormat="1" x14ac:dyDescent="0.2">
      <c r="A13" s="1">
        <v>12</v>
      </c>
      <c r="B13" s="1" t="s">
        <v>39</v>
      </c>
      <c r="C13" s="1" t="s">
        <v>37</v>
      </c>
      <c r="D13" s="1" t="s">
        <v>40</v>
      </c>
      <c r="E13" s="4" t="s">
        <v>52</v>
      </c>
      <c r="F13" s="8">
        <v>40391</v>
      </c>
      <c r="G13" s="8">
        <v>41306</v>
      </c>
      <c r="H13" s="8">
        <v>41456</v>
      </c>
      <c r="I13" s="5">
        <v>1500</v>
      </c>
      <c r="J13" s="5">
        <f t="shared" si="4"/>
        <v>75</v>
      </c>
      <c r="K13" s="5">
        <f t="shared" si="0"/>
        <v>1425</v>
      </c>
      <c r="L13" s="5">
        <f t="shared" si="1"/>
        <v>8.75</v>
      </c>
      <c r="M13" s="5">
        <f t="shared" si="2"/>
        <v>35</v>
      </c>
      <c r="N13" s="4">
        <v>1</v>
      </c>
      <c r="O13" s="4">
        <f t="shared" si="3"/>
        <v>5</v>
      </c>
      <c r="P13" s="4">
        <v>1</v>
      </c>
      <c r="Q13" s="4">
        <v>213</v>
      </c>
      <c r="R13" s="4">
        <v>0</v>
      </c>
      <c r="S13" s="1" t="s">
        <v>41</v>
      </c>
      <c r="T13" s="1" t="s">
        <v>56</v>
      </c>
      <c r="U13" s="1" t="s">
        <v>56</v>
      </c>
      <c r="V13" s="4" t="s">
        <v>56</v>
      </c>
      <c r="W13" s="4" t="s">
        <v>56</v>
      </c>
      <c r="X13" s="4" t="s">
        <v>42</v>
      </c>
      <c r="Y13" s="4">
        <v>1</v>
      </c>
      <c r="Z13" s="4">
        <v>0</v>
      </c>
      <c r="AA13" s="4">
        <v>0</v>
      </c>
      <c r="AB13" s="10">
        <v>0.76000000000000012</v>
      </c>
      <c r="AC13" s="10">
        <v>0</v>
      </c>
      <c r="AD13" s="10">
        <v>0</v>
      </c>
      <c r="AE13" s="13">
        <v>0.76000000000000012</v>
      </c>
      <c r="AF13" s="13">
        <v>0</v>
      </c>
      <c r="AG13" s="13">
        <v>0.33999999999999997</v>
      </c>
      <c r="AH13" s="16">
        <v>0.76000000000000012</v>
      </c>
      <c r="AI13" s="16">
        <v>1.2</v>
      </c>
      <c r="AJ13" s="16">
        <v>1.1000000000000001</v>
      </c>
    </row>
    <row r="14" spans="1:36" s="1" customFormat="1" x14ac:dyDescent="0.2">
      <c r="A14" s="1">
        <v>13</v>
      </c>
      <c r="B14" s="1" t="s">
        <v>43</v>
      </c>
      <c r="C14" s="1" t="s">
        <v>37</v>
      </c>
      <c r="D14" s="1" t="s">
        <v>44</v>
      </c>
      <c r="E14" s="4" t="s">
        <v>52</v>
      </c>
      <c r="F14" s="8">
        <v>42370</v>
      </c>
      <c r="G14" s="8">
        <v>45017</v>
      </c>
      <c r="H14" s="8">
        <v>45292</v>
      </c>
      <c r="I14" s="5">
        <v>2400</v>
      </c>
      <c r="J14" s="5">
        <f t="shared" si="4"/>
        <v>120</v>
      </c>
      <c r="K14" s="5">
        <f t="shared" si="0"/>
        <v>2280</v>
      </c>
      <c r="L14" s="5">
        <f t="shared" si="1"/>
        <v>24</v>
      </c>
      <c r="M14" s="5">
        <f t="shared" si="2"/>
        <v>96</v>
      </c>
      <c r="N14" s="4">
        <v>1</v>
      </c>
      <c r="O14" s="4">
        <f t="shared" si="3"/>
        <v>9</v>
      </c>
      <c r="P14" s="4">
        <v>1</v>
      </c>
      <c r="Q14" s="4">
        <v>150</v>
      </c>
      <c r="R14" s="4">
        <v>0</v>
      </c>
      <c r="S14" s="1" t="s">
        <v>45</v>
      </c>
      <c r="T14" s="1" t="s">
        <v>56</v>
      </c>
      <c r="U14" s="1" t="s">
        <v>56</v>
      </c>
      <c r="V14" s="4" t="s">
        <v>56</v>
      </c>
      <c r="W14" s="4" t="s">
        <v>56</v>
      </c>
      <c r="X14" s="4" t="s">
        <v>42</v>
      </c>
      <c r="Y14" s="4">
        <v>1</v>
      </c>
      <c r="Z14" s="4">
        <v>1</v>
      </c>
      <c r="AA14" s="4">
        <v>0</v>
      </c>
      <c r="AB14" s="10">
        <v>0.96</v>
      </c>
      <c r="AC14" s="10">
        <v>0.84</v>
      </c>
      <c r="AD14" s="10">
        <v>0.6</v>
      </c>
      <c r="AE14" s="13">
        <v>0.96</v>
      </c>
      <c r="AF14" s="13">
        <v>0.84</v>
      </c>
      <c r="AG14" s="13">
        <v>0.6</v>
      </c>
      <c r="AH14" s="16">
        <v>0.96</v>
      </c>
      <c r="AI14" s="16">
        <v>0.84</v>
      </c>
      <c r="AJ14" s="16">
        <v>1.56</v>
      </c>
    </row>
    <row r="15" spans="1:36" s="1" customFormat="1" x14ac:dyDescent="0.2">
      <c r="A15" s="1">
        <v>14</v>
      </c>
      <c r="B15" s="1" t="s">
        <v>46</v>
      </c>
      <c r="C15" s="1" t="s">
        <v>28</v>
      </c>
      <c r="D15" s="1" t="s">
        <v>47</v>
      </c>
      <c r="E15" s="4" t="s">
        <v>52</v>
      </c>
      <c r="F15" s="8">
        <v>43466</v>
      </c>
      <c r="G15" s="8">
        <v>44927</v>
      </c>
      <c r="H15" s="8">
        <v>44927</v>
      </c>
      <c r="I15" s="5">
        <v>4500</v>
      </c>
      <c r="J15" s="5">
        <f t="shared" si="4"/>
        <v>225</v>
      </c>
      <c r="K15" s="5">
        <f t="shared" si="0"/>
        <v>4275</v>
      </c>
      <c r="L15" s="5">
        <f t="shared" si="1"/>
        <v>12</v>
      </c>
      <c r="M15" s="5">
        <f t="shared" si="2"/>
        <v>48</v>
      </c>
      <c r="N15" s="4">
        <v>0</v>
      </c>
      <c r="O15" s="4">
        <f t="shared" si="3"/>
        <v>0</v>
      </c>
      <c r="P15" s="4">
        <v>0</v>
      </c>
      <c r="Q15" s="4">
        <v>0</v>
      </c>
      <c r="R15" s="4">
        <v>1</v>
      </c>
      <c r="S15" s="1" t="s">
        <v>48</v>
      </c>
      <c r="T15" s="1" t="s">
        <v>112</v>
      </c>
      <c r="U15" s="1" t="s">
        <v>110</v>
      </c>
      <c r="V15" s="4"/>
      <c r="W15" s="4"/>
      <c r="X15" s="4" t="s">
        <v>38</v>
      </c>
      <c r="Y15" s="4">
        <v>1</v>
      </c>
      <c r="Z15" s="4">
        <v>1</v>
      </c>
      <c r="AA15" s="4">
        <v>1</v>
      </c>
      <c r="AB15" s="10">
        <v>1.8</v>
      </c>
      <c r="AC15" s="10">
        <v>1.575</v>
      </c>
      <c r="AD15" s="10">
        <v>1.125</v>
      </c>
      <c r="AE15" s="13">
        <v>1.8</v>
      </c>
      <c r="AF15" s="13">
        <v>1.575</v>
      </c>
      <c r="AG15" s="13">
        <v>1.125</v>
      </c>
      <c r="AH15" s="16">
        <v>1.8</v>
      </c>
      <c r="AI15" s="16">
        <v>1.575</v>
      </c>
      <c r="AJ15" s="16">
        <v>1.125</v>
      </c>
    </row>
    <row r="16" spans="1:36" s="1" customFormat="1" x14ac:dyDescent="0.2">
      <c r="A16" s="1">
        <v>15</v>
      </c>
      <c r="B16" s="1" t="s">
        <v>81</v>
      </c>
      <c r="C16" s="1" t="s">
        <v>79</v>
      </c>
      <c r="D16" s="1" t="s">
        <v>80</v>
      </c>
      <c r="E16" s="4" t="s">
        <v>54</v>
      </c>
      <c r="F16" s="8">
        <v>41275</v>
      </c>
      <c r="G16" s="8">
        <v>42370</v>
      </c>
      <c r="H16" s="8">
        <v>42522</v>
      </c>
      <c r="I16" s="5">
        <v>343</v>
      </c>
      <c r="J16" s="5">
        <f t="shared" si="4"/>
        <v>17.150000000000002</v>
      </c>
      <c r="K16" s="5">
        <f t="shared" si="0"/>
        <v>325.85000000000002</v>
      </c>
      <c r="L16" s="5">
        <f t="shared" si="1"/>
        <v>10.25</v>
      </c>
      <c r="M16" s="5">
        <f t="shared" si="2"/>
        <v>41</v>
      </c>
      <c r="N16" s="4">
        <v>1</v>
      </c>
      <c r="O16" s="4">
        <f t="shared" si="3"/>
        <v>5</v>
      </c>
      <c r="P16" s="4">
        <v>1</v>
      </c>
      <c r="Q16" s="4">
        <f>I16*11.7%</f>
        <v>40.131</v>
      </c>
      <c r="R16" s="4">
        <v>0</v>
      </c>
      <c r="S16" s="1" t="s">
        <v>56</v>
      </c>
      <c r="T16" s="1" t="s">
        <v>56</v>
      </c>
      <c r="U16" s="1" t="s">
        <v>56</v>
      </c>
      <c r="V16" s="4" t="s">
        <v>56</v>
      </c>
      <c r="W16" s="4" t="s">
        <v>56</v>
      </c>
      <c r="X16" s="4" t="s">
        <v>56</v>
      </c>
      <c r="Y16" s="4">
        <v>1</v>
      </c>
      <c r="Z16" s="4">
        <v>0</v>
      </c>
      <c r="AA16" s="4">
        <v>0</v>
      </c>
      <c r="AB16" s="11">
        <v>0.13720000000000002</v>
      </c>
      <c r="AC16" s="11">
        <v>0</v>
      </c>
      <c r="AD16" s="11">
        <v>0</v>
      </c>
      <c r="AE16" s="14">
        <v>0.13720000000000002</v>
      </c>
      <c r="AF16" s="14">
        <v>0.12005</v>
      </c>
      <c r="AG16" s="14">
        <v>8.5750000000000007E-2</v>
      </c>
      <c r="AH16" s="17">
        <v>0.13720000000000002</v>
      </c>
      <c r="AI16" s="17">
        <v>0.25725000000000003</v>
      </c>
      <c r="AJ16" s="17">
        <v>0.22295000000000004</v>
      </c>
    </row>
    <row r="17" spans="1:36" s="1" customFormat="1" x14ac:dyDescent="0.2">
      <c r="A17" s="1">
        <v>16</v>
      </c>
      <c r="B17" s="1" t="s">
        <v>82</v>
      </c>
      <c r="C17" s="1" t="s">
        <v>37</v>
      </c>
      <c r="D17" s="1" t="s">
        <v>83</v>
      </c>
      <c r="E17" s="4" t="s">
        <v>54</v>
      </c>
      <c r="F17" s="8">
        <v>38353</v>
      </c>
      <c r="G17" s="8">
        <v>39569</v>
      </c>
      <c r="H17" s="8">
        <v>39630</v>
      </c>
      <c r="I17" s="5">
        <v>201</v>
      </c>
      <c r="J17" s="5">
        <f t="shared" si="4"/>
        <v>10.050000000000001</v>
      </c>
      <c r="K17" s="5">
        <f t="shared" si="0"/>
        <v>190.95</v>
      </c>
      <c r="L17" s="5">
        <f t="shared" si="1"/>
        <v>10.5</v>
      </c>
      <c r="M17" s="5">
        <f t="shared" si="2"/>
        <v>42</v>
      </c>
      <c r="N17" s="4">
        <v>1</v>
      </c>
      <c r="O17" s="4">
        <f t="shared" si="3"/>
        <v>2</v>
      </c>
      <c r="P17" s="4">
        <v>0</v>
      </c>
      <c r="Q17" s="4">
        <v>0</v>
      </c>
      <c r="R17" s="4">
        <v>0</v>
      </c>
      <c r="S17" s="1" t="s">
        <v>56</v>
      </c>
      <c r="T17" s="1" t="s">
        <v>56</v>
      </c>
      <c r="U17" s="1" t="s">
        <v>56</v>
      </c>
      <c r="V17" s="4" t="s">
        <v>56</v>
      </c>
      <c r="W17" s="4" t="s">
        <v>56</v>
      </c>
      <c r="X17" s="4" t="s">
        <v>56</v>
      </c>
      <c r="Y17" s="4">
        <v>1</v>
      </c>
      <c r="Z17" s="4">
        <v>1</v>
      </c>
      <c r="AA17" s="4">
        <v>0</v>
      </c>
      <c r="AB17" s="11">
        <v>8.0400000000000013E-2</v>
      </c>
      <c r="AC17" s="11">
        <v>7.0349999999999996E-2</v>
      </c>
      <c r="AD17" s="11">
        <v>0</v>
      </c>
      <c r="AE17" s="14">
        <v>8.0400000000000013E-2</v>
      </c>
      <c r="AF17" s="14">
        <v>7.0349999999999996E-2</v>
      </c>
      <c r="AG17" s="14">
        <v>5.0250000000000003E-2</v>
      </c>
      <c r="AH17" s="17">
        <v>8.0400000000000013E-2</v>
      </c>
      <c r="AI17" s="17">
        <v>0.15075</v>
      </c>
      <c r="AJ17" s="17">
        <v>0.13065000000000002</v>
      </c>
    </row>
    <row r="18" spans="1:36" s="1" customFormat="1" x14ac:dyDescent="0.2">
      <c r="A18" s="1">
        <v>17</v>
      </c>
      <c r="B18" s="1" t="s">
        <v>84</v>
      </c>
      <c r="C18" s="1" t="s">
        <v>37</v>
      </c>
      <c r="D18" s="1" t="s">
        <v>85</v>
      </c>
      <c r="E18" s="4" t="s">
        <v>54</v>
      </c>
      <c r="F18" s="8">
        <v>38718</v>
      </c>
      <c r="G18" s="8">
        <v>39508</v>
      </c>
      <c r="H18" s="8">
        <v>39448</v>
      </c>
      <c r="I18" s="5">
        <v>46</v>
      </c>
      <c r="J18" s="5">
        <f t="shared" si="4"/>
        <v>2.3000000000000003</v>
      </c>
      <c r="K18" s="5">
        <f t="shared" si="0"/>
        <v>43.7</v>
      </c>
      <c r="L18" s="5">
        <f t="shared" si="1"/>
        <v>6</v>
      </c>
      <c r="M18" s="5">
        <f t="shared" si="2"/>
        <v>24</v>
      </c>
      <c r="N18" s="4">
        <v>0</v>
      </c>
      <c r="O18" s="4">
        <f>-DATEDIF(H18,G18,"M")</f>
        <v>-2</v>
      </c>
      <c r="P18" s="4">
        <v>0</v>
      </c>
      <c r="Q18" s="4">
        <v>0</v>
      </c>
      <c r="R18" s="4">
        <v>0</v>
      </c>
      <c r="S18" s="1" t="s">
        <v>56</v>
      </c>
      <c r="T18" s="1" t="s">
        <v>56</v>
      </c>
      <c r="U18" s="1" t="s">
        <v>56</v>
      </c>
      <c r="V18" s="4" t="s">
        <v>56</v>
      </c>
      <c r="W18" s="4" t="s">
        <v>56</v>
      </c>
      <c r="X18" s="4" t="s">
        <v>56</v>
      </c>
      <c r="Y18" s="4">
        <v>1</v>
      </c>
      <c r="Z18" s="4">
        <v>0</v>
      </c>
      <c r="AA18" s="4">
        <v>0</v>
      </c>
      <c r="AB18" s="11">
        <v>1.84E-2</v>
      </c>
      <c r="AC18" s="11">
        <v>0</v>
      </c>
      <c r="AD18" s="11">
        <v>0</v>
      </c>
      <c r="AE18" s="14">
        <v>1.84E-2</v>
      </c>
      <c r="AF18" s="14">
        <v>1.61E-2</v>
      </c>
      <c r="AG18" s="14">
        <v>1.15E-2</v>
      </c>
      <c r="AH18" s="17">
        <v>1.84E-2</v>
      </c>
      <c r="AI18" s="17">
        <v>3.4500000000000003E-2</v>
      </c>
      <c r="AJ18" s="17">
        <v>2.9899999999999999E-2</v>
      </c>
    </row>
    <row r="19" spans="1:36" s="1" customFormat="1" x14ac:dyDescent="0.2">
      <c r="A19" s="1">
        <v>18</v>
      </c>
      <c r="B19" s="1" t="s">
        <v>87</v>
      </c>
      <c r="C19" s="1" t="s">
        <v>28</v>
      </c>
      <c r="D19" s="1" t="s">
        <v>86</v>
      </c>
      <c r="E19" s="4" t="s">
        <v>54</v>
      </c>
      <c r="F19" s="8">
        <v>38718</v>
      </c>
      <c r="G19" s="8">
        <v>39539</v>
      </c>
      <c r="H19" s="8">
        <v>39448</v>
      </c>
      <c r="I19" s="5">
        <v>300</v>
      </c>
      <c r="J19" s="5">
        <f t="shared" si="4"/>
        <v>15</v>
      </c>
      <c r="K19" s="5">
        <f t="shared" si="0"/>
        <v>285</v>
      </c>
      <c r="L19" s="5">
        <f t="shared" si="1"/>
        <v>6</v>
      </c>
      <c r="M19" s="5">
        <f t="shared" si="2"/>
        <v>24</v>
      </c>
      <c r="N19" s="4">
        <v>0</v>
      </c>
      <c r="O19" s="4">
        <f>-DATEDIF(H19,G19,"M")</f>
        <v>-3</v>
      </c>
      <c r="P19" s="4">
        <v>0</v>
      </c>
      <c r="Q19" s="4">
        <v>0</v>
      </c>
      <c r="R19" s="4">
        <v>0</v>
      </c>
      <c r="S19" s="1" t="s">
        <v>56</v>
      </c>
      <c r="T19" s="1" t="s">
        <v>56</v>
      </c>
      <c r="U19" s="1" t="s">
        <v>56</v>
      </c>
      <c r="V19" s="4" t="s">
        <v>56</v>
      </c>
      <c r="W19" s="4" t="s">
        <v>56</v>
      </c>
      <c r="X19" s="4" t="s">
        <v>56</v>
      </c>
      <c r="Y19" s="4">
        <v>1</v>
      </c>
      <c r="Z19" s="4">
        <v>1</v>
      </c>
      <c r="AA19" s="4">
        <v>1</v>
      </c>
      <c r="AB19" s="11">
        <v>0.12</v>
      </c>
      <c r="AC19" s="11">
        <v>0.105</v>
      </c>
      <c r="AD19" s="11">
        <v>7.4999999999999997E-2</v>
      </c>
      <c r="AE19" s="14">
        <v>0.12</v>
      </c>
      <c r="AF19" s="14">
        <v>0.105</v>
      </c>
      <c r="AG19" s="14">
        <v>7.4999999999999997E-2</v>
      </c>
      <c r="AH19" s="17">
        <v>0.12</v>
      </c>
      <c r="AI19" s="17">
        <v>0.22499999999999998</v>
      </c>
      <c r="AJ19" s="17">
        <v>0.19500000000000001</v>
      </c>
    </row>
    <row r="20" spans="1:36" s="1" customFormat="1" x14ac:dyDescent="0.2">
      <c r="A20" s="1">
        <v>19</v>
      </c>
      <c r="B20" s="1" t="s">
        <v>89</v>
      </c>
      <c r="C20" s="1" t="s">
        <v>37</v>
      </c>
      <c r="D20" s="1" t="s">
        <v>88</v>
      </c>
      <c r="E20" s="4" t="s">
        <v>54</v>
      </c>
      <c r="F20" s="8">
        <v>40269</v>
      </c>
      <c r="G20" s="8">
        <v>40969</v>
      </c>
      <c r="H20" s="8">
        <v>40848</v>
      </c>
      <c r="I20" s="5">
        <v>12</v>
      </c>
      <c r="J20" s="5">
        <f t="shared" si="4"/>
        <v>0.60000000000000009</v>
      </c>
      <c r="K20" s="5">
        <f t="shared" si="0"/>
        <v>11.4</v>
      </c>
      <c r="L20" s="5">
        <f t="shared" si="1"/>
        <v>4.75</v>
      </c>
      <c r="M20" s="5">
        <f t="shared" si="2"/>
        <v>19</v>
      </c>
      <c r="N20" s="4">
        <v>0</v>
      </c>
      <c r="O20" s="4">
        <f>-DATEDIF(H20,G20,"M")</f>
        <v>-4</v>
      </c>
      <c r="P20" s="4">
        <v>0</v>
      </c>
      <c r="Q20" s="4">
        <v>0</v>
      </c>
      <c r="R20" s="4">
        <v>0</v>
      </c>
      <c r="S20" s="1" t="s">
        <v>56</v>
      </c>
      <c r="T20" s="1" t="s">
        <v>56</v>
      </c>
      <c r="U20" s="1" t="s">
        <v>56</v>
      </c>
      <c r="V20" s="4" t="s">
        <v>56</v>
      </c>
      <c r="W20" s="4" t="s">
        <v>56</v>
      </c>
      <c r="X20" s="4" t="s">
        <v>56</v>
      </c>
      <c r="Y20" s="4">
        <v>1</v>
      </c>
      <c r="Z20" s="4">
        <v>0</v>
      </c>
      <c r="AA20" s="4">
        <v>0</v>
      </c>
      <c r="AB20" s="11">
        <v>4.8000000000000004E-3</v>
      </c>
      <c r="AC20" s="11">
        <v>0</v>
      </c>
      <c r="AD20" s="11">
        <v>0</v>
      </c>
      <c r="AE20" s="14">
        <v>4.8000000000000004E-3</v>
      </c>
      <c r="AF20" s="14">
        <v>4.1999999999999997E-3</v>
      </c>
      <c r="AG20" s="14">
        <v>3.0000000000000001E-3</v>
      </c>
      <c r="AH20" s="17">
        <v>4.8000000000000004E-3</v>
      </c>
      <c r="AI20" s="17">
        <v>9.0000000000000011E-3</v>
      </c>
      <c r="AJ20" s="17">
        <v>7.8000000000000005E-3</v>
      </c>
    </row>
    <row r="21" spans="1:36" s="1" customFormat="1" x14ac:dyDescent="0.2">
      <c r="A21" s="1">
        <v>20</v>
      </c>
      <c r="B21" s="1" t="s">
        <v>91</v>
      </c>
      <c r="C21" s="1" t="s">
        <v>37</v>
      </c>
      <c r="D21" s="1" t="s">
        <v>90</v>
      </c>
      <c r="E21" s="4" t="s">
        <v>54</v>
      </c>
      <c r="F21" s="8">
        <v>38718</v>
      </c>
      <c r="G21" s="8">
        <v>39692</v>
      </c>
      <c r="H21" s="8">
        <v>39600</v>
      </c>
      <c r="I21" s="5">
        <v>111</v>
      </c>
      <c r="J21" s="5">
        <f t="shared" si="4"/>
        <v>5.5500000000000007</v>
      </c>
      <c r="K21" s="5">
        <f t="shared" si="0"/>
        <v>105.45</v>
      </c>
      <c r="L21" s="5">
        <f t="shared" si="1"/>
        <v>7.25</v>
      </c>
      <c r="M21" s="5">
        <f t="shared" si="2"/>
        <v>29</v>
      </c>
      <c r="N21" s="4">
        <v>0</v>
      </c>
      <c r="O21" s="4">
        <f>-DATEDIF(H21,G21,"M")</f>
        <v>-3</v>
      </c>
      <c r="P21" s="4">
        <v>0</v>
      </c>
      <c r="Q21" s="4">
        <v>0</v>
      </c>
      <c r="R21" s="4">
        <v>0</v>
      </c>
      <c r="S21" s="1" t="s">
        <v>56</v>
      </c>
      <c r="T21" s="1" t="s">
        <v>56</v>
      </c>
      <c r="U21" s="1" t="s">
        <v>56</v>
      </c>
      <c r="V21" s="4" t="s">
        <v>56</v>
      </c>
      <c r="W21" s="4" t="s">
        <v>56</v>
      </c>
      <c r="X21" s="4" t="s">
        <v>56</v>
      </c>
      <c r="Y21" s="4">
        <v>1</v>
      </c>
      <c r="Z21" s="4">
        <v>0</v>
      </c>
      <c r="AA21" s="4">
        <v>0</v>
      </c>
      <c r="AB21" s="11">
        <v>4.4400000000000002E-2</v>
      </c>
      <c r="AC21" s="11">
        <v>0</v>
      </c>
      <c r="AD21" s="11">
        <v>0</v>
      </c>
      <c r="AE21" s="14">
        <v>4.4400000000000002E-2</v>
      </c>
      <c r="AF21" s="14">
        <v>3.8849999999999996E-2</v>
      </c>
      <c r="AG21" s="14">
        <v>2.775E-2</v>
      </c>
      <c r="AH21" s="17">
        <v>4.4400000000000002E-2</v>
      </c>
      <c r="AI21" s="17">
        <v>8.3249999999999991E-2</v>
      </c>
      <c r="AJ21" s="17">
        <v>7.2150000000000006E-2</v>
      </c>
    </row>
    <row r="22" spans="1:36" s="1" customFormat="1" x14ac:dyDescent="0.2">
      <c r="A22" s="1">
        <v>21</v>
      </c>
      <c r="B22" s="1" t="s">
        <v>93</v>
      </c>
      <c r="C22" s="1" t="s">
        <v>37</v>
      </c>
      <c r="D22" s="1" t="s">
        <v>92</v>
      </c>
      <c r="E22" s="4" t="s">
        <v>54</v>
      </c>
      <c r="F22" s="8">
        <v>39356</v>
      </c>
      <c r="G22" s="8">
        <v>39873</v>
      </c>
      <c r="H22" s="8">
        <v>39814</v>
      </c>
      <c r="I22" s="5">
        <v>35</v>
      </c>
      <c r="J22" s="5">
        <f t="shared" si="4"/>
        <v>1.75</v>
      </c>
      <c r="K22" s="5">
        <f t="shared" si="0"/>
        <v>33.25</v>
      </c>
      <c r="L22" s="5">
        <f t="shared" si="1"/>
        <v>3.75</v>
      </c>
      <c r="M22" s="5">
        <f t="shared" si="2"/>
        <v>15</v>
      </c>
      <c r="N22" s="4">
        <v>0</v>
      </c>
      <c r="O22" s="4">
        <f>-DATEDIF(H22,G22,"M")</f>
        <v>-2</v>
      </c>
      <c r="P22" s="4">
        <v>0</v>
      </c>
      <c r="Q22" s="4">
        <v>0</v>
      </c>
      <c r="R22" s="4">
        <v>0</v>
      </c>
      <c r="S22" s="1" t="s">
        <v>56</v>
      </c>
      <c r="T22" s="1" t="s">
        <v>56</v>
      </c>
      <c r="U22" s="1" t="s">
        <v>56</v>
      </c>
      <c r="V22" s="4" t="s">
        <v>56</v>
      </c>
      <c r="W22" s="4" t="s">
        <v>56</v>
      </c>
      <c r="X22" s="4" t="s">
        <v>56</v>
      </c>
      <c r="Y22" s="4">
        <v>1</v>
      </c>
      <c r="Z22" s="4">
        <v>0</v>
      </c>
      <c r="AA22" s="4">
        <v>0</v>
      </c>
      <c r="AB22" s="11">
        <v>1.4000000000000002E-2</v>
      </c>
      <c r="AC22" s="11">
        <v>0</v>
      </c>
      <c r="AD22" s="11">
        <v>0</v>
      </c>
      <c r="AE22" s="14">
        <v>1.4000000000000002E-2</v>
      </c>
      <c r="AF22" s="14">
        <v>1.225E-2</v>
      </c>
      <c r="AG22" s="14">
        <v>8.7500000000000008E-3</v>
      </c>
      <c r="AH22" s="17">
        <v>1.4000000000000002E-2</v>
      </c>
      <c r="AI22" s="17">
        <v>2.6250000000000002E-2</v>
      </c>
      <c r="AJ22" s="17">
        <v>2.2750000000000003E-2</v>
      </c>
    </row>
    <row r="23" spans="1:36" s="1" customFormat="1" x14ac:dyDescent="0.2">
      <c r="A23" s="1">
        <v>22</v>
      </c>
      <c r="B23" s="1" t="s">
        <v>94</v>
      </c>
      <c r="C23" s="1" t="s">
        <v>37</v>
      </c>
      <c r="D23" s="1" t="s">
        <v>96</v>
      </c>
      <c r="E23" s="4" t="s">
        <v>54</v>
      </c>
      <c r="F23" s="8">
        <v>40179</v>
      </c>
      <c r="G23" s="8">
        <v>40787</v>
      </c>
      <c r="H23" s="8">
        <v>41275</v>
      </c>
      <c r="I23" s="5">
        <v>41.7</v>
      </c>
      <c r="J23" s="5">
        <f t="shared" si="4"/>
        <v>2.0850000000000004</v>
      </c>
      <c r="K23" s="5">
        <f t="shared" si="0"/>
        <v>39.615000000000002</v>
      </c>
      <c r="L23" s="5">
        <f t="shared" si="1"/>
        <v>9</v>
      </c>
      <c r="M23" s="5">
        <f t="shared" si="2"/>
        <v>36</v>
      </c>
      <c r="N23" s="4">
        <v>1</v>
      </c>
      <c r="O23" s="4">
        <f t="shared" si="3"/>
        <v>16</v>
      </c>
      <c r="P23" s="4">
        <v>1</v>
      </c>
      <c r="Q23" s="4">
        <v>5.6</v>
      </c>
      <c r="R23" s="4">
        <v>0</v>
      </c>
      <c r="S23" s="1" t="s">
        <v>56</v>
      </c>
      <c r="T23" s="1" t="s">
        <v>56</v>
      </c>
      <c r="U23" s="1" t="s">
        <v>56</v>
      </c>
      <c r="V23" s="4" t="s">
        <v>56</v>
      </c>
      <c r="W23" s="4" t="s">
        <v>56</v>
      </c>
      <c r="X23" s="4" t="s">
        <v>56</v>
      </c>
      <c r="Y23" s="4">
        <v>0</v>
      </c>
      <c r="Z23" s="4">
        <v>0</v>
      </c>
      <c r="AA23" s="4">
        <v>0</v>
      </c>
      <c r="AB23" s="11">
        <v>0</v>
      </c>
      <c r="AC23" s="11">
        <v>0</v>
      </c>
      <c r="AD23" s="11">
        <v>0</v>
      </c>
      <c r="AE23" s="14">
        <v>1.668E-2</v>
      </c>
      <c r="AF23" s="14">
        <v>1.4594999999999999E-2</v>
      </c>
      <c r="AG23" s="14">
        <v>1.0425E-2</v>
      </c>
      <c r="AH23" s="17">
        <v>1.668E-2</v>
      </c>
      <c r="AI23" s="17">
        <v>3.1274999999999997E-2</v>
      </c>
      <c r="AJ23" s="17">
        <v>2.7105000000000001E-2</v>
      </c>
    </row>
    <row r="24" spans="1:36" s="1" customFormat="1" x14ac:dyDescent="0.2">
      <c r="A24" s="1">
        <v>23</v>
      </c>
      <c r="B24" s="1" t="s">
        <v>95</v>
      </c>
      <c r="C24" s="1" t="s">
        <v>37</v>
      </c>
      <c r="D24" s="1" t="s">
        <v>97</v>
      </c>
      <c r="E24" s="4" t="s">
        <v>54</v>
      </c>
      <c r="F24" s="8">
        <v>40179</v>
      </c>
      <c r="G24" s="8">
        <v>40787</v>
      </c>
      <c r="H24" s="8">
        <v>40725</v>
      </c>
      <c r="I24" s="5">
        <v>44.4</v>
      </c>
      <c r="J24" s="5">
        <f t="shared" si="4"/>
        <v>2.2200000000000002</v>
      </c>
      <c r="K24" s="5">
        <f t="shared" si="0"/>
        <v>42.18</v>
      </c>
      <c r="L24" s="5">
        <f t="shared" si="1"/>
        <v>4.5</v>
      </c>
      <c r="M24" s="5">
        <f t="shared" si="2"/>
        <v>18</v>
      </c>
      <c r="N24" s="4">
        <v>0</v>
      </c>
      <c r="O24" s="4">
        <f>-DATEDIF(H24,G24,"M")</f>
        <v>-2</v>
      </c>
      <c r="P24" s="4">
        <v>1</v>
      </c>
      <c r="Q24" s="4">
        <v>0.5</v>
      </c>
      <c r="R24" s="4">
        <v>0</v>
      </c>
      <c r="S24" s="1" t="s">
        <v>56</v>
      </c>
      <c r="T24" s="1" t="s">
        <v>56</v>
      </c>
      <c r="U24" s="1" t="s">
        <v>56</v>
      </c>
      <c r="V24" s="4" t="s">
        <v>56</v>
      </c>
      <c r="W24" s="4" t="s">
        <v>56</v>
      </c>
      <c r="X24" s="4" t="s">
        <v>56</v>
      </c>
      <c r="Y24" s="4">
        <v>1</v>
      </c>
      <c r="Z24" s="4">
        <v>0</v>
      </c>
      <c r="AA24" s="4">
        <v>0</v>
      </c>
      <c r="AB24" s="11">
        <v>1.7760000000000001E-2</v>
      </c>
      <c r="AC24" s="11">
        <v>0</v>
      </c>
      <c r="AD24" s="11">
        <v>0</v>
      </c>
      <c r="AE24" s="14">
        <v>1.7760000000000001E-2</v>
      </c>
      <c r="AF24" s="14">
        <v>1.554E-2</v>
      </c>
      <c r="AG24" s="14">
        <v>1.11E-2</v>
      </c>
      <c r="AH24" s="17">
        <v>1.7760000000000001E-2</v>
      </c>
      <c r="AI24" s="17">
        <v>3.3300000000000003E-2</v>
      </c>
      <c r="AJ24" s="17">
        <v>2.8860000000000004E-2</v>
      </c>
    </row>
    <row r="25" spans="1:36" s="1" customFormat="1" x14ac:dyDescent="0.2">
      <c r="A25" s="1">
        <v>24</v>
      </c>
      <c r="B25" s="1" t="s">
        <v>100</v>
      </c>
      <c r="C25" s="1" t="s">
        <v>37</v>
      </c>
      <c r="D25" s="1" t="s">
        <v>98</v>
      </c>
      <c r="E25" s="4" t="s">
        <v>54</v>
      </c>
      <c r="F25" s="8">
        <v>40087</v>
      </c>
      <c r="G25" s="8">
        <v>40817</v>
      </c>
      <c r="H25" s="8">
        <v>40909</v>
      </c>
      <c r="I25" s="5">
        <v>47.6</v>
      </c>
      <c r="J25" s="5">
        <f t="shared" si="4"/>
        <v>2.3800000000000003</v>
      </c>
      <c r="K25" s="5">
        <f t="shared" si="0"/>
        <v>45.22</v>
      </c>
      <c r="L25" s="5">
        <f t="shared" si="1"/>
        <v>6.75</v>
      </c>
      <c r="M25" s="5">
        <f t="shared" si="2"/>
        <v>27</v>
      </c>
      <c r="N25" s="4">
        <v>0</v>
      </c>
      <c r="O25" s="4">
        <f t="shared" si="3"/>
        <v>3</v>
      </c>
      <c r="P25" s="4">
        <v>1</v>
      </c>
      <c r="Q25" s="4">
        <v>2.8</v>
      </c>
      <c r="R25" s="4">
        <v>0</v>
      </c>
      <c r="S25" s="1" t="s">
        <v>56</v>
      </c>
      <c r="T25" s="1" t="s">
        <v>56</v>
      </c>
      <c r="U25" s="1" t="s">
        <v>56</v>
      </c>
      <c r="V25" s="4" t="s">
        <v>56</v>
      </c>
      <c r="W25" s="4" t="s">
        <v>56</v>
      </c>
      <c r="X25" s="4" t="s">
        <v>56</v>
      </c>
      <c r="Y25" s="4">
        <v>0</v>
      </c>
      <c r="Z25" s="4">
        <v>0</v>
      </c>
      <c r="AA25" s="4">
        <v>0</v>
      </c>
      <c r="AB25" s="11">
        <v>0</v>
      </c>
      <c r="AC25" s="11">
        <v>0</v>
      </c>
      <c r="AD25" s="11">
        <v>0</v>
      </c>
      <c r="AE25" s="14">
        <v>1.9040000000000001E-2</v>
      </c>
      <c r="AF25" s="14">
        <v>1.6660000000000001E-2</v>
      </c>
      <c r="AG25" s="14">
        <v>1.1900000000000001E-2</v>
      </c>
      <c r="AH25" s="17">
        <v>1.9040000000000001E-2</v>
      </c>
      <c r="AI25" s="17">
        <v>3.5700000000000003E-2</v>
      </c>
      <c r="AJ25" s="17">
        <v>3.0940000000000002E-2</v>
      </c>
    </row>
    <row r="26" spans="1:36" s="1" customFormat="1" x14ac:dyDescent="0.2">
      <c r="A26" s="1">
        <v>25</v>
      </c>
      <c r="B26" s="1" t="s">
        <v>101</v>
      </c>
      <c r="C26" s="1" t="s">
        <v>37</v>
      </c>
      <c r="D26" s="1" t="s">
        <v>99</v>
      </c>
      <c r="E26" s="4" t="s">
        <v>54</v>
      </c>
      <c r="F26" s="8">
        <v>40909</v>
      </c>
      <c r="G26" s="8">
        <v>41487</v>
      </c>
      <c r="H26" s="8">
        <v>41548</v>
      </c>
      <c r="I26" s="5">
        <v>57.7</v>
      </c>
      <c r="J26" s="5">
        <f t="shared" si="4"/>
        <v>2.8850000000000002</v>
      </c>
      <c r="K26" s="5">
        <f t="shared" si="0"/>
        <v>54.815000000000005</v>
      </c>
      <c r="L26" s="5">
        <f t="shared" si="1"/>
        <v>5.25</v>
      </c>
      <c r="M26" s="5">
        <f t="shared" si="2"/>
        <v>21</v>
      </c>
      <c r="N26" s="4">
        <v>0</v>
      </c>
      <c r="O26" s="4">
        <f t="shared" si="3"/>
        <v>2</v>
      </c>
      <c r="P26" s="4">
        <v>1</v>
      </c>
      <c r="Q26" s="4">
        <v>0.43</v>
      </c>
      <c r="R26" s="4">
        <v>0</v>
      </c>
      <c r="S26" s="1" t="s">
        <v>56</v>
      </c>
      <c r="T26" s="1" t="s">
        <v>56</v>
      </c>
      <c r="U26" s="1" t="s">
        <v>56</v>
      </c>
      <c r="V26" s="4" t="s">
        <v>56</v>
      </c>
      <c r="W26" s="4" t="s">
        <v>56</v>
      </c>
      <c r="X26" s="4" t="s">
        <v>56</v>
      </c>
      <c r="Y26" s="4">
        <v>1</v>
      </c>
      <c r="Z26" s="4">
        <v>0</v>
      </c>
      <c r="AA26" s="4">
        <v>0</v>
      </c>
      <c r="AB26" s="11">
        <v>2.3080000000000003E-2</v>
      </c>
      <c r="AC26" s="11">
        <v>0</v>
      </c>
      <c r="AD26" s="11">
        <v>0</v>
      </c>
      <c r="AE26" s="14">
        <v>2.3080000000000003E-2</v>
      </c>
      <c r="AF26" s="14">
        <v>2.0194999999999998E-2</v>
      </c>
      <c r="AG26" s="14">
        <v>1.4425E-2</v>
      </c>
      <c r="AH26" s="17">
        <v>2.3080000000000003E-2</v>
      </c>
      <c r="AI26" s="17">
        <v>4.3275000000000001E-2</v>
      </c>
      <c r="AJ26" s="17">
        <v>3.7505000000000004E-2</v>
      </c>
    </row>
    <row r="27" spans="1:36" s="1" customFormat="1" x14ac:dyDescent="0.2">
      <c r="A27" s="1">
        <v>26</v>
      </c>
      <c r="B27" s="1" t="s">
        <v>107</v>
      </c>
      <c r="C27" s="1" t="s">
        <v>104</v>
      </c>
      <c r="D27" s="1" t="s">
        <v>102</v>
      </c>
      <c r="E27" s="4" t="s">
        <v>52</v>
      </c>
      <c r="F27" s="8">
        <v>42125</v>
      </c>
      <c r="G27" s="8">
        <v>43405</v>
      </c>
      <c r="H27" s="8">
        <v>43374</v>
      </c>
      <c r="I27" s="5">
        <v>12000</v>
      </c>
      <c r="J27" s="5">
        <f t="shared" si="4"/>
        <v>600</v>
      </c>
      <c r="K27" s="5">
        <f t="shared" si="0"/>
        <v>11400</v>
      </c>
      <c r="L27" s="5">
        <f t="shared" si="1"/>
        <v>10.25</v>
      </c>
      <c r="M27" s="5">
        <f t="shared" si="2"/>
        <v>41</v>
      </c>
      <c r="N27" s="4">
        <v>0</v>
      </c>
      <c r="O27" s="4">
        <f>-DATEDIF(H27,G27,"M")</f>
        <v>-1</v>
      </c>
      <c r="P27" s="4">
        <v>0</v>
      </c>
      <c r="Q27" s="4">
        <v>0</v>
      </c>
      <c r="R27" s="4">
        <v>1</v>
      </c>
      <c r="S27" s="1" t="s">
        <v>56</v>
      </c>
      <c r="T27" s="1" t="s">
        <v>56</v>
      </c>
      <c r="U27" s="1" t="s">
        <v>56</v>
      </c>
      <c r="V27" s="4">
        <v>25</v>
      </c>
      <c r="W27" s="4">
        <v>2043</v>
      </c>
      <c r="X27" s="4" t="s">
        <v>7</v>
      </c>
      <c r="Y27" s="4">
        <v>1</v>
      </c>
      <c r="Z27" s="4">
        <v>1</v>
      </c>
      <c r="AA27" s="4">
        <v>1</v>
      </c>
      <c r="AB27" s="11">
        <v>4.8000000000000007</v>
      </c>
      <c r="AC27" s="11">
        <v>4.1999999999999993</v>
      </c>
      <c r="AD27" s="11">
        <v>3</v>
      </c>
      <c r="AE27" s="14">
        <v>4.8000000000000007</v>
      </c>
      <c r="AF27" s="14">
        <v>4.1999999999999993</v>
      </c>
      <c r="AG27" s="14">
        <v>3</v>
      </c>
      <c r="AH27" s="17">
        <v>4.8000000000000007</v>
      </c>
      <c r="AI27" s="17">
        <v>9</v>
      </c>
      <c r="AJ27" s="17">
        <v>7.8000000000000007</v>
      </c>
    </row>
    <row r="28" spans="1:36" s="1" customFormat="1" x14ac:dyDescent="0.2">
      <c r="A28" s="1">
        <v>27</v>
      </c>
      <c r="B28" s="1" t="s">
        <v>106</v>
      </c>
      <c r="C28" s="1" t="s">
        <v>105</v>
      </c>
      <c r="D28" s="1" t="s">
        <v>103</v>
      </c>
      <c r="E28" s="4" t="s">
        <v>54</v>
      </c>
      <c r="F28" s="8">
        <v>39814</v>
      </c>
      <c r="G28" s="8">
        <v>41244</v>
      </c>
      <c r="H28" s="8">
        <v>42125</v>
      </c>
      <c r="I28" s="5">
        <v>1500</v>
      </c>
      <c r="J28" s="5">
        <f t="shared" si="4"/>
        <v>75</v>
      </c>
      <c r="K28" s="5">
        <f t="shared" si="0"/>
        <v>1425</v>
      </c>
      <c r="L28" s="5">
        <f t="shared" si="1"/>
        <v>19</v>
      </c>
      <c r="M28" s="5">
        <f t="shared" si="2"/>
        <v>76</v>
      </c>
      <c r="N28" s="4">
        <v>1</v>
      </c>
      <c r="O28" s="4">
        <f t="shared" si="3"/>
        <v>29</v>
      </c>
      <c r="P28" s="4">
        <v>1</v>
      </c>
      <c r="Q28" s="4">
        <v>200</v>
      </c>
      <c r="R28" s="4">
        <v>0</v>
      </c>
      <c r="S28" s="1" t="s">
        <v>56</v>
      </c>
      <c r="T28" s="1" t="s">
        <v>56</v>
      </c>
      <c r="U28" s="1" t="s">
        <v>56</v>
      </c>
      <c r="V28" s="7" t="s">
        <v>56</v>
      </c>
      <c r="W28" s="7" t="s">
        <v>56</v>
      </c>
      <c r="X28" s="7" t="s">
        <v>56</v>
      </c>
      <c r="Y28" s="4">
        <v>0</v>
      </c>
      <c r="Z28" s="4">
        <v>0</v>
      </c>
      <c r="AA28" s="4">
        <v>1</v>
      </c>
      <c r="AB28" s="11">
        <v>0</v>
      </c>
      <c r="AC28" s="11">
        <v>0</v>
      </c>
      <c r="AD28" s="11">
        <v>0.375</v>
      </c>
      <c r="AE28" s="14">
        <v>0.60000000000000009</v>
      </c>
      <c r="AF28" s="14">
        <v>0.52499999999999991</v>
      </c>
      <c r="AG28" s="14">
        <v>0.375</v>
      </c>
      <c r="AH28" s="17">
        <v>0.60000000000000009</v>
      </c>
      <c r="AI28" s="17">
        <v>1.125</v>
      </c>
      <c r="AJ28" s="17">
        <v>0.97500000000000009</v>
      </c>
    </row>
    <row r="29" spans="1:36" s="1" customFormat="1" x14ac:dyDescent="0.2">
      <c r="A29" s="1">
        <v>28</v>
      </c>
      <c r="B29" s="1" t="s">
        <v>109</v>
      </c>
      <c r="C29" s="1" t="s">
        <v>37</v>
      </c>
      <c r="D29" s="1" t="s">
        <v>108</v>
      </c>
      <c r="E29" s="4" t="s">
        <v>54</v>
      </c>
      <c r="F29" s="8">
        <v>42248</v>
      </c>
      <c r="G29" s="8">
        <v>43709</v>
      </c>
      <c r="H29" s="8">
        <v>43709</v>
      </c>
      <c r="I29" s="5">
        <v>3140</v>
      </c>
      <c r="J29" s="5">
        <f t="shared" si="4"/>
        <v>157</v>
      </c>
      <c r="K29" s="5">
        <f t="shared" si="0"/>
        <v>2983</v>
      </c>
      <c r="L29" s="5">
        <f t="shared" si="1"/>
        <v>12</v>
      </c>
      <c r="M29" s="5">
        <f t="shared" si="2"/>
        <v>48</v>
      </c>
      <c r="N29" s="4">
        <v>0</v>
      </c>
      <c r="O29" s="4">
        <f t="shared" si="3"/>
        <v>0</v>
      </c>
      <c r="P29" s="4">
        <v>0</v>
      </c>
      <c r="Q29" s="4">
        <v>0</v>
      </c>
      <c r="R29" s="4">
        <v>0</v>
      </c>
      <c r="S29" s="1" t="s">
        <v>56</v>
      </c>
      <c r="T29" s="1" t="s">
        <v>56</v>
      </c>
      <c r="U29" s="1" t="s">
        <v>56</v>
      </c>
      <c r="V29" s="4" t="s">
        <v>56</v>
      </c>
      <c r="W29" s="4" t="s">
        <v>56</v>
      </c>
      <c r="X29" s="4" t="s">
        <v>56</v>
      </c>
      <c r="Y29" s="4">
        <v>0</v>
      </c>
      <c r="Z29" s="4">
        <v>1</v>
      </c>
      <c r="AA29" s="4">
        <v>0</v>
      </c>
      <c r="AB29" s="11">
        <v>0</v>
      </c>
      <c r="AC29" s="11">
        <v>1.099</v>
      </c>
      <c r="AD29" s="11">
        <v>0</v>
      </c>
      <c r="AE29" s="14">
        <v>1.2560000000000002</v>
      </c>
      <c r="AF29" s="14">
        <v>1.099</v>
      </c>
      <c r="AG29" s="14">
        <v>0.78500000000000003</v>
      </c>
      <c r="AH29" s="17">
        <v>1.2560000000000002</v>
      </c>
      <c r="AI29" s="17">
        <v>2.3550000000000004</v>
      </c>
      <c r="AJ29" s="17">
        <v>2.0410000000000004</v>
      </c>
    </row>
    <row r="30" spans="1:36" s="1" customFormat="1" x14ac:dyDescent="0.2">
      <c r="E30" s="4"/>
      <c r="F30" s="4"/>
      <c r="G30" s="4"/>
      <c r="H30" s="4"/>
      <c r="N30" s="4"/>
      <c r="V30" s="4"/>
      <c r="W30" s="4"/>
      <c r="X30" s="4"/>
      <c r="Y30" s="4"/>
      <c r="Z30" s="4"/>
      <c r="AA30" s="4"/>
      <c r="AB30" s="5"/>
      <c r="AC30" s="5"/>
      <c r="AD30" s="5"/>
      <c r="AE30" s="5"/>
      <c r="AF30" s="5"/>
      <c r="AG30" s="5"/>
      <c r="AH30" s="5"/>
      <c r="AI30" s="5"/>
      <c r="AJ30" s="5"/>
    </row>
    <row r="31" spans="1:36" s="1" customFormat="1" x14ac:dyDescent="0.2">
      <c r="E31" s="4"/>
      <c r="F31" s="4"/>
      <c r="G31" s="4"/>
      <c r="H31" s="4"/>
      <c r="I31" s="19"/>
      <c r="V31" s="4"/>
      <c r="W31" s="4"/>
      <c r="X31" s="4"/>
      <c r="Y31" s="4"/>
      <c r="Z31" s="4"/>
      <c r="AA31" s="4"/>
      <c r="AB31" s="5"/>
      <c r="AC31" s="5"/>
      <c r="AD31" s="5"/>
      <c r="AE31" s="5"/>
      <c r="AF31" s="5"/>
      <c r="AG31" s="5"/>
      <c r="AH31" s="5"/>
      <c r="AI31" s="5"/>
      <c r="AJ31" s="5"/>
    </row>
    <row r="32" spans="1:36" s="1" customFormat="1" x14ac:dyDescent="0.2">
      <c r="E32" s="4"/>
      <c r="F32" s="4"/>
      <c r="G32" s="4"/>
      <c r="H32" s="4"/>
      <c r="V32" s="4"/>
      <c r="W32" s="4"/>
      <c r="X32" s="4"/>
      <c r="Y32" s="4"/>
      <c r="Z32" s="4"/>
      <c r="AA32" s="4"/>
      <c r="AB32" s="5"/>
      <c r="AC32" s="5"/>
      <c r="AD32" s="5"/>
      <c r="AE32" s="5"/>
      <c r="AF32" s="5"/>
      <c r="AG32" s="5"/>
      <c r="AH32" s="5"/>
      <c r="AI32" s="5"/>
      <c r="AJ32" s="5"/>
    </row>
    <row r="33" spans="5:36" s="1" customFormat="1" x14ac:dyDescent="0.2">
      <c r="E33" s="4"/>
      <c r="F33" s="4"/>
      <c r="G33" s="4"/>
      <c r="H33" s="4"/>
      <c r="V33" s="4"/>
      <c r="W33" s="4"/>
      <c r="X33" s="4"/>
      <c r="Y33" s="4"/>
      <c r="Z33" s="4"/>
      <c r="AA33" s="4"/>
      <c r="AB33" s="5"/>
      <c r="AC33" s="5"/>
      <c r="AD33" s="5"/>
      <c r="AE33" s="5"/>
      <c r="AF33" s="5"/>
      <c r="AG33" s="5"/>
      <c r="AH33" s="5"/>
      <c r="AI33" s="5"/>
      <c r="AJ33" s="5"/>
    </row>
    <row r="34" spans="5:36" s="1" customFormat="1" x14ac:dyDescent="0.2">
      <c r="E34" s="4"/>
      <c r="F34" s="4"/>
      <c r="G34" s="4"/>
      <c r="H34" s="4"/>
      <c r="V34" s="4"/>
      <c r="W34" s="4"/>
      <c r="X34" s="4"/>
      <c r="Y34" s="4"/>
      <c r="Z34" s="4"/>
      <c r="AA34" s="4"/>
      <c r="AB34" s="5"/>
      <c r="AC34" s="5"/>
      <c r="AD34" s="5"/>
      <c r="AE34" s="5"/>
      <c r="AF34" s="5"/>
      <c r="AG34" s="5"/>
      <c r="AH34" s="5"/>
      <c r="AI34" s="5"/>
      <c r="AJ34" s="5"/>
    </row>
  </sheetData>
  <phoneticPr fontId="3" type="noConversion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Ясин</dc:creator>
  <cp:lastModifiedBy>Evgenii Azarov</cp:lastModifiedBy>
  <dcterms:created xsi:type="dcterms:W3CDTF">2025-11-22T12:18:39Z</dcterms:created>
  <dcterms:modified xsi:type="dcterms:W3CDTF">2025-12-01T23:36:07Z</dcterms:modified>
</cp:coreProperties>
</file>