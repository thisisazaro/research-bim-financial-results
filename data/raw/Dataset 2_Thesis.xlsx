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emminigalimov/Desktop/Обучение/Fudan University/Thesis/Data/Thesis/"/>
    </mc:Choice>
  </mc:AlternateContent>
  <xr:revisionPtr revIDLastSave="0" documentId="13_ncr:1_{EFE584F6-E9C8-6949-816B-E17086DA7893}" xr6:coauthVersionLast="47" xr6:coauthVersionMax="47" xr10:uidLastSave="{00000000-0000-0000-0000-000000000000}"/>
  <bookViews>
    <workbookView xWindow="7080" yWindow="1000" windowWidth="28240" windowHeight="17240" xr2:uid="{2EA2816A-5AB5-4A44-8A38-37DD82B4B95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" i="1" l="1"/>
  <c r="H37" i="1"/>
  <c r="H29" i="1"/>
  <c r="H30" i="1"/>
  <c r="H31" i="1"/>
  <c r="H32" i="1"/>
  <c r="H33" i="1"/>
  <c r="H34" i="1"/>
  <c r="H35" i="1"/>
</calcChain>
</file>

<file path=xl/sharedStrings.xml><?xml version="1.0" encoding="utf-8"?>
<sst xmlns="http://schemas.openxmlformats.org/spreadsheetml/2006/main" count="205" uniqueCount="41">
  <si>
    <t>№</t>
  </si>
  <si>
    <t>ID</t>
  </si>
  <si>
    <t>Project</t>
  </si>
  <si>
    <t>SPV</t>
  </si>
  <si>
    <t>Year</t>
  </si>
  <si>
    <t>Maintenance obligations</t>
  </si>
  <si>
    <t>Salary</t>
  </si>
  <si>
    <t>Toll road M11 (543-646 km and 646-684 km)</t>
  </si>
  <si>
    <t>RU-001</t>
  </si>
  <si>
    <t xml:space="preserve">
Two capitals highway</t>
  </si>
  <si>
    <t>Source</t>
  </si>
  <si>
    <t>https://mos-spb.ru/files/docs/4_file.pdf?1597821550</t>
  </si>
  <si>
    <t>Revenue</t>
  </si>
  <si>
    <t>Construction stage_CAPEX</t>
  </si>
  <si>
    <t>https://mos-spb.ru/files/docs/4_file.pdf?1597821551</t>
  </si>
  <si>
    <t>RU-002</t>
  </si>
  <si>
    <t>https://mos-spb.ru/files/docs/4_file.pdf?1597821552</t>
  </si>
  <si>
    <t>https://mos-spb.ru/files/docs/4_file.pdf?1597821553</t>
  </si>
  <si>
    <t>https://mos-spb.ru/files/docs/4_file.pdf?1597821554</t>
  </si>
  <si>
    <t>RU-005</t>
  </si>
  <si>
    <t>https://mos-spb.ru/files/docs/4_file.pdf?1597821555</t>
  </si>
  <si>
    <t>https://mos-spb.ru/files/docs/4_file.pdf?1597821556</t>
  </si>
  <si>
    <t>0.00</t>
  </si>
  <si>
    <t>Pulkovo Airport</t>
  </si>
  <si>
    <t>Northern Capital Gateway</t>
  </si>
  <si>
    <t>https://www.rusprofile.ru/accounting?ogrn=1067746535944</t>
  </si>
  <si>
    <t>105.87</t>
  </si>
  <si>
    <t>101.12</t>
  </si>
  <si>
    <t>53.28</t>
  </si>
  <si>
    <t>48.88</t>
  </si>
  <si>
    <t>64.03</t>
  </si>
  <si>
    <t>71.15</t>
  </si>
  <si>
    <t>74.50</t>
  </si>
  <si>
    <t>50.23</t>
  </si>
  <si>
    <t>59.58</t>
  </si>
  <si>
    <t>56.66</t>
  </si>
  <si>
    <t>61.31</t>
  </si>
  <si>
    <t>69.38</t>
  </si>
  <si>
    <t>Russia</t>
  </si>
  <si>
    <t>Toll road WHSD</t>
  </si>
  <si>
    <t>https://www.rusprofile.ru/accounting?ogrn=1117746182399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</si>
</sst>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scheme val="minor"/>
    </font>
    <font>
      <sz val="8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left"/>
    </xf>
    <xf numFmtId="4" fontId="0" fillId="0" borderId="0" xfId="0" applyNumberFormat="1" applyAlignment="1">
      <alignment horizontal="center"/>
    </xf>
    <xf numFmtId="0" fontId="3" fillId="0" borderId="0" xfId="1"/>
    <xf numFmtId="0" fontId="0" fillId="0" borderId="0" xfId="0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rusprofile.ru/accounting?ogrn=1067746535944" TargetMode="External"/><Relationship Id="rId1" Type="http://schemas.openxmlformats.org/officeDocument/2006/relationships/hyperlink" Target="https://www.rusprofile.ru/accounting?ogrn=10677465359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F3C3-7079-EA4F-A8EE-738C1226B702}">
  <dimension ref="A1:J47"/>
  <sheetViews>
    <sheetView tabSelected="1" topLeftCell="A21" workbookViewId="0">
      <selection activeCell="G48" sqref="G48"/>
    </sheetView>
  </sheetViews>
  <sheetFormatPr baseColWidth="10" defaultRowHeight="16" x14ac:dyDescent="0.2"/>
  <cols>
    <col min="1" max="1" width="10.83203125" style="4"/>
    <col min="6" max="6" width="10.83203125" style="4"/>
    <col min="7" max="7" width="15.6640625" style="2" bestFit="1" customWidth="1"/>
    <col min="8" max="8" width="23" style="2" bestFit="1" customWidth="1"/>
    <col min="9" max="9" width="29.83203125" style="2" bestFit="1" customWidth="1"/>
    <col min="10" max="10" width="14.6640625" style="2" bestFit="1" customWidth="1"/>
  </cols>
  <sheetData>
    <row r="1" spans="1:10" x14ac:dyDescent="0.2">
      <c r="A1" s="4" t="s">
        <v>0</v>
      </c>
      <c r="B1" t="s">
        <v>10</v>
      </c>
      <c r="C1" t="s">
        <v>1</v>
      </c>
      <c r="D1" t="s">
        <v>2</v>
      </c>
      <c r="E1" t="s">
        <v>3</v>
      </c>
      <c r="F1" s="4" t="s">
        <v>4</v>
      </c>
      <c r="G1" s="2" t="s">
        <v>12</v>
      </c>
      <c r="H1" s="2" t="s">
        <v>13</v>
      </c>
      <c r="I1" s="2" t="s">
        <v>5</v>
      </c>
      <c r="J1" s="2" t="s">
        <v>6</v>
      </c>
    </row>
    <row r="2" spans="1:10" x14ac:dyDescent="0.2">
      <c r="A2" s="4">
        <v>1</v>
      </c>
      <c r="B2" t="s">
        <v>11</v>
      </c>
      <c r="C2" s="1" t="s">
        <v>8</v>
      </c>
      <c r="D2" s="1" t="s">
        <v>7</v>
      </c>
      <c r="E2" s="1" t="s">
        <v>9</v>
      </c>
      <c r="F2" s="4">
        <v>2015</v>
      </c>
      <c r="G2" s="2">
        <v>0</v>
      </c>
      <c r="H2" s="2">
        <v>0.04</v>
      </c>
      <c r="I2" s="2">
        <v>0</v>
      </c>
      <c r="J2" s="2">
        <v>0</v>
      </c>
    </row>
    <row r="3" spans="1:10" x14ac:dyDescent="0.2">
      <c r="A3" s="4">
        <v>2</v>
      </c>
      <c r="B3" t="s">
        <v>11</v>
      </c>
      <c r="C3" s="1" t="s">
        <v>8</v>
      </c>
      <c r="D3" s="1" t="s">
        <v>7</v>
      </c>
      <c r="E3" s="1" t="s">
        <v>9</v>
      </c>
      <c r="F3" s="4">
        <v>2016</v>
      </c>
      <c r="G3" s="2">
        <v>0</v>
      </c>
      <c r="H3" s="2">
        <v>290.13</v>
      </c>
      <c r="I3" s="2">
        <v>0</v>
      </c>
      <c r="J3" s="2">
        <v>0</v>
      </c>
    </row>
    <row r="4" spans="1:10" x14ac:dyDescent="0.2">
      <c r="A4" s="4">
        <v>3</v>
      </c>
      <c r="B4" t="s">
        <v>11</v>
      </c>
      <c r="C4" s="1" t="s">
        <v>8</v>
      </c>
      <c r="D4" s="1" t="s">
        <v>7</v>
      </c>
      <c r="E4" s="1" t="s">
        <v>9</v>
      </c>
      <c r="F4" s="4">
        <v>2017</v>
      </c>
      <c r="G4" s="2">
        <v>0</v>
      </c>
      <c r="H4" s="2">
        <v>197.03</v>
      </c>
      <c r="I4" s="2">
        <v>0</v>
      </c>
      <c r="J4" s="2">
        <v>0</v>
      </c>
    </row>
    <row r="5" spans="1:10" x14ac:dyDescent="0.2">
      <c r="A5" s="4">
        <v>4</v>
      </c>
      <c r="B5" t="s">
        <v>11</v>
      </c>
      <c r="C5" s="1" t="s">
        <v>8</v>
      </c>
      <c r="D5" s="1" t="s">
        <v>7</v>
      </c>
      <c r="E5" s="1" t="s">
        <v>9</v>
      </c>
      <c r="F5" s="4">
        <v>2018</v>
      </c>
      <c r="G5" s="2">
        <v>1.3</v>
      </c>
      <c r="H5" s="2">
        <v>252.71</v>
      </c>
      <c r="I5" s="2">
        <v>0.99</v>
      </c>
      <c r="J5" s="2">
        <v>0</v>
      </c>
    </row>
    <row r="6" spans="1:10" x14ac:dyDescent="0.2">
      <c r="A6" s="4">
        <v>5</v>
      </c>
      <c r="B6" t="s">
        <v>14</v>
      </c>
      <c r="C6" s="1" t="s">
        <v>8</v>
      </c>
      <c r="D6" s="1" t="s">
        <v>7</v>
      </c>
      <c r="E6" s="1" t="s">
        <v>9</v>
      </c>
      <c r="F6" s="4">
        <v>2019</v>
      </c>
      <c r="G6" s="2">
        <v>5.76</v>
      </c>
      <c r="H6" s="2">
        <v>298.47000000000003</v>
      </c>
      <c r="I6" s="2">
        <v>5.41</v>
      </c>
      <c r="J6" s="2">
        <v>0.28999999999999998</v>
      </c>
    </row>
    <row r="7" spans="1:10" x14ac:dyDescent="0.2">
      <c r="A7" s="4">
        <v>6</v>
      </c>
      <c r="B7" t="s">
        <v>16</v>
      </c>
      <c r="C7" s="1" t="s">
        <v>8</v>
      </c>
      <c r="D7" s="1" t="s">
        <v>7</v>
      </c>
      <c r="E7" s="1" t="s">
        <v>9</v>
      </c>
      <c r="F7" s="4">
        <v>2020</v>
      </c>
      <c r="G7" s="2">
        <v>17.86</v>
      </c>
      <c r="H7" s="2">
        <v>0.05</v>
      </c>
      <c r="I7" s="2">
        <v>14</v>
      </c>
      <c r="J7" s="2">
        <v>2.0299999999999998</v>
      </c>
    </row>
    <row r="8" spans="1:10" x14ac:dyDescent="0.2">
      <c r="A8" s="4">
        <v>7</v>
      </c>
      <c r="B8" t="s">
        <v>17</v>
      </c>
      <c r="C8" s="1" t="s">
        <v>8</v>
      </c>
      <c r="D8" s="1" t="s">
        <v>7</v>
      </c>
      <c r="E8" s="1" t="s">
        <v>9</v>
      </c>
      <c r="F8" s="4">
        <v>2021</v>
      </c>
      <c r="G8" s="2">
        <v>34.020000000000003</v>
      </c>
      <c r="H8" s="2">
        <v>14.56</v>
      </c>
      <c r="I8" s="2">
        <v>29.21</v>
      </c>
      <c r="J8" s="2">
        <v>2.0699999999999998</v>
      </c>
    </row>
    <row r="9" spans="1:10" x14ac:dyDescent="0.2">
      <c r="A9" s="4">
        <v>8</v>
      </c>
      <c r="B9" t="s">
        <v>18</v>
      </c>
      <c r="C9" s="1" t="s">
        <v>8</v>
      </c>
      <c r="D9" s="1" t="s">
        <v>7</v>
      </c>
      <c r="E9" s="1" t="s">
        <v>9</v>
      </c>
      <c r="F9" s="4">
        <v>2022</v>
      </c>
      <c r="G9" s="2">
        <v>39.28</v>
      </c>
      <c r="H9" s="2">
        <v>3.31</v>
      </c>
      <c r="I9" s="2">
        <v>34.03</v>
      </c>
      <c r="J9" s="2">
        <v>2.0499999999999998</v>
      </c>
    </row>
    <row r="10" spans="1:10" x14ac:dyDescent="0.2">
      <c r="A10" s="4">
        <v>9</v>
      </c>
      <c r="B10" t="s">
        <v>20</v>
      </c>
      <c r="C10" s="1" t="s">
        <v>8</v>
      </c>
      <c r="D10" s="1" t="s">
        <v>7</v>
      </c>
      <c r="E10" s="1" t="s">
        <v>9</v>
      </c>
      <c r="F10" s="4">
        <v>2023</v>
      </c>
      <c r="G10" s="2">
        <v>26.74</v>
      </c>
      <c r="H10" s="2">
        <v>0</v>
      </c>
      <c r="I10" s="2">
        <v>22.56</v>
      </c>
      <c r="J10" s="2">
        <v>1.67</v>
      </c>
    </row>
    <row r="11" spans="1:10" x14ac:dyDescent="0.2">
      <c r="A11" s="4">
        <v>10</v>
      </c>
      <c r="B11" t="s">
        <v>21</v>
      </c>
      <c r="C11" s="1" t="s">
        <v>8</v>
      </c>
      <c r="D11" s="1" t="s">
        <v>7</v>
      </c>
      <c r="E11" s="1" t="s">
        <v>9</v>
      </c>
      <c r="F11" s="4">
        <v>2024</v>
      </c>
      <c r="G11" s="2">
        <v>43.55</v>
      </c>
      <c r="H11" s="2">
        <v>0</v>
      </c>
      <c r="I11" s="2">
        <v>38.31</v>
      </c>
      <c r="J11" s="2">
        <v>1.88</v>
      </c>
    </row>
    <row r="12" spans="1:10" x14ac:dyDescent="0.2">
      <c r="A12" s="4">
        <v>11</v>
      </c>
      <c r="B12" s="3" t="s">
        <v>25</v>
      </c>
      <c r="C12" s="1" t="s">
        <v>19</v>
      </c>
      <c r="D12" s="1" t="s">
        <v>23</v>
      </c>
      <c r="E12" s="1" t="s">
        <v>24</v>
      </c>
      <c r="F12" s="4">
        <v>2010</v>
      </c>
      <c r="G12" s="2">
        <v>0</v>
      </c>
      <c r="H12" s="2">
        <v>148.29</v>
      </c>
      <c r="I12" s="2">
        <v>0</v>
      </c>
      <c r="J12" s="2" t="s">
        <v>22</v>
      </c>
    </row>
    <row r="13" spans="1:10" x14ac:dyDescent="0.2">
      <c r="A13" s="4">
        <v>12</v>
      </c>
      <c r="B13" s="3" t="s">
        <v>25</v>
      </c>
      <c r="C13" s="1" t="s">
        <v>19</v>
      </c>
      <c r="D13" s="1" t="s">
        <v>23</v>
      </c>
      <c r="E13" s="1" t="s">
        <v>24</v>
      </c>
      <c r="F13" s="4">
        <v>2011</v>
      </c>
      <c r="G13" s="2">
        <v>0</v>
      </c>
      <c r="H13" s="2">
        <v>425.58</v>
      </c>
      <c r="I13" s="2">
        <v>0</v>
      </c>
      <c r="J13" s="2" t="s">
        <v>22</v>
      </c>
    </row>
    <row r="14" spans="1:10" x14ac:dyDescent="0.2">
      <c r="A14" s="4">
        <v>13</v>
      </c>
      <c r="B14" s="3" t="s">
        <v>25</v>
      </c>
      <c r="C14" s="1" t="s">
        <v>19</v>
      </c>
      <c r="D14" s="1" t="s">
        <v>23</v>
      </c>
      <c r="E14" s="1" t="s">
        <v>24</v>
      </c>
      <c r="F14" s="4">
        <v>2012</v>
      </c>
      <c r="G14" s="2">
        <v>0</v>
      </c>
      <c r="H14" s="2">
        <v>509.2</v>
      </c>
      <c r="I14" s="2">
        <v>0</v>
      </c>
      <c r="J14" s="2" t="s">
        <v>22</v>
      </c>
    </row>
    <row r="15" spans="1:10" x14ac:dyDescent="0.2">
      <c r="A15" s="4">
        <v>14</v>
      </c>
      <c r="B15" s="3" t="s">
        <v>25</v>
      </c>
      <c r="C15" s="1" t="s">
        <v>19</v>
      </c>
      <c r="D15" s="1" t="s">
        <v>23</v>
      </c>
      <c r="E15" s="1" t="s">
        <v>24</v>
      </c>
      <c r="F15" s="4">
        <v>2013</v>
      </c>
      <c r="G15" s="2">
        <v>268.10000000000002</v>
      </c>
      <c r="H15" s="2">
        <v>249.47</v>
      </c>
      <c r="I15" s="2">
        <v>56.74</v>
      </c>
      <c r="J15" s="2" t="s">
        <v>26</v>
      </c>
    </row>
    <row r="16" spans="1:10" x14ac:dyDescent="0.2">
      <c r="A16" s="4">
        <v>15</v>
      </c>
      <c r="B16" s="3" t="s">
        <v>25</v>
      </c>
      <c r="C16" s="1" t="s">
        <v>19</v>
      </c>
      <c r="D16" s="1" t="s">
        <v>23</v>
      </c>
      <c r="E16" s="1" t="s">
        <v>24</v>
      </c>
      <c r="F16" s="4">
        <v>2014</v>
      </c>
      <c r="G16" s="2">
        <v>332.12</v>
      </c>
      <c r="H16" s="2">
        <v>235.87</v>
      </c>
      <c r="I16" s="2">
        <v>57.92</v>
      </c>
      <c r="J16" s="2" t="s">
        <v>27</v>
      </c>
    </row>
    <row r="17" spans="1:10" x14ac:dyDescent="0.2">
      <c r="A17" s="4">
        <v>16</v>
      </c>
      <c r="B17" s="3" t="s">
        <v>25</v>
      </c>
      <c r="C17" s="1" t="s">
        <v>19</v>
      </c>
      <c r="D17" s="1" t="s">
        <v>23</v>
      </c>
      <c r="E17" s="1" t="s">
        <v>24</v>
      </c>
      <c r="F17" s="4">
        <v>2015</v>
      </c>
      <c r="G17" s="2">
        <v>215.82</v>
      </c>
      <c r="H17" s="2">
        <v>0</v>
      </c>
      <c r="I17" s="2">
        <v>34.43</v>
      </c>
      <c r="J17" s="2" t="s">
        <v>28</v>
      </c>
    </row>
    <row r="18" spans="1:10" x14ac:dyDescent="0.2">
      <c r="A18" s="4">
        <v>17</v>
      </c>
      <c r="B18" s="3" t="s">
        <v>25</v>
      </c>
      <c r="C18" s="1" t="s">
        <v>19</v>
      </c>
      <c r="D18" s="1" t="s">
        <v>23</v>
      </c>
      <c r="E18" s="1" t="s">
        <v>24</v>
      </c>
      <c r="F18" s="4">
        <v>2016</v>
      </c>
      <c r="G18" s="2">
        <v>211.6</v>
      </c>
      <c r="H18" s="2">
        <v>0</v>
      </c>
      <c r="I18" s="2">
        <v>30.35</v>
      </c>
      <c r="J18" s="2" t="s">
        <v>29</v>
      </c>
    </row>
    <row r="19" spans="1:10" x14ac:dyDescent="0.2">
      <c r="A19" s="4">
        <v>18</v>
      </c>
      <c r="B19" s="3" t="s">
        <v>25</v>
      </c>
      <c r="C19" s="1" t="s">
        <v>19</v>
      </c>
      <c r="D19" s="1" t="s">
        <v>23</v>
      </c>
      <c r="E19" s="1" t="s">
        <v>24</v>
      </c>
      <c r="F19" s="4">
        <v>2017</v>
      </c>
      <c r="G19" s="2">
        <v>291.51</v>
      </c>
      <c r="H19" s="2">
        <v>0</v>
      </c>
      <c r="I19" s="2">
        <v>24.19</v>
      </c>
      <c r="J19" s="2" t="s">
        <v>30</v>
      </c>
    </row>
    <row r="20" spans="1:10" x14ac:dyDescent="0.2">
      <c r="A20" s="4">
        <v>19</v>
      </c>
      <c r="B20" s="3" t="s">
        <v>25</v>
      </c>
      <c r="C20" s="1" t="s">
        <v>19</v>
      </c>
      <c r="D20" s="1" t="s">
        <v>23</v>
      </c>
      <c r="E20" s="1" t="s">
        <v>24</v>
      </c>
      <c r="F20" s="4">
        <v>2018</v>
      </c>
      <c r="G20" s="2">
        <v>321.58</v>
      </c>
      <c r="H20" s="2">
        <v>0</v>
      </c>
      <c r="I20" s="2">
        <v>32.409999999999997</v>
      </c>
      <c r="J20" s="2" t="s">
        <v>31</v>
      </c>
    </row>
    <row r="21" spans="1:10" x14ac:dyDescent="0.2">
      <c r="A21" s="4">
        <v>20</v>
      </c>
      <c r="B21" s="3" t="s">
        <v>25</v>
      </c>
      <c r="C21" s="1" t="s">
        <v>19</v>
      </c>
      <c r="D21" s="1" t="s">
        <v>23</v>
      </c>
      <c r="E21" s="1" t="s">
        <v>24</v>
      </c>
      <c r="F21" s="4">
        <v>2019</v>
      </c>
      <c r="G21" s="2">
        <v>325.89</v>
      </c>
      <c r="H21" s="2">
        <v>0</v>
      </c>
      <c r="I21" s="2">
        <v>34.619999999999997</v>
      </c>
      <c r="J21" s="2" t="s">
        <v>32</v>
      </c>
    </row>
    <row r="22" spans="1:10" x14ac:dyDescent="0.2">
      <c r="A22" s="4">
        <v>21</v>
      </c>
      <c r="B22" s="3" t="s">
        <v>25</v>
      </c>
      <c r="C22" s="1" t="s">
        <v>19</v>
      </c>
      <c r="D22" s="1" t="s">
        <v>23</v>
      </c>
      <c r="E22" s="1" t="s">
        <v>24</v>
      </c>
      <c r="F22" s="4">
        <v>2020</v>
      </c>
      <c r="G22" s="2">
        <v>137.56</v>
      </c>
      <c r="H22" s="2">
        <v>0</v>
      </c>
      <c r="I22" s="2">
        <v>21.67</v>
      </c>
      <c r="J22" s="2" t="s">
        <v>33</v>
      </c>
    </row>
    <row r="23" spans="1:10" x14ac:dyDescent="0.2">
      <c r="A23" s="4">
        <v>22</v>
      </c>
      <c r="B23" s="3" t="s">
        <v>25</v>
      </c>
      <c r="C23" s="1" t="s">
        <v>19</v>
      </c>
      <c r="D23" s="1" t="s">
        <v>23</v>
      </c>
      <c r="E23" s="1" t="s">
        <v>24</v>
      </c>
      <c r="F23" s="4">
        <v>2021</v>
      </c>
      <c r="G23" s="2">
        <v>222.96</v>
      </c>
      <c r="H23" s="2">
        <v>0</v>
      </c>
      <c r="I23" s="2">
        <v>33.53</v>
      </c>
      <c r="J23" s="2" t="s">
        <v>34</v>
      </c>
    </row>
    <row r="24" spans="1:10" x14ac:dyDescent="0.2">
      <c r="A24" s="4">
        <v>23</v>
      </c>
      <c r="B24" s="3" t="s">
        <v>25</v>
      </c>
      <c r="C24" s="1" t="s">
        <v>19</v>
      </c>
      <c r="D24" s="1" t="s">
        <v>23</v>
      </c>
      <c r="E24" s="1" t="s">
        <v>24</v>
      </c>
      <c r="F24" s="4">
        <v>2022</v>
      </c>
      <c r="G24" s="2">
        <v>229.33</v>
      </c>
      <c r="H24" s="2">
        <v>0</v>
      </c>
      <c r="I24" s="2">
        <v>37.26</v>
      </c>
      <c r="J24" s="2" t="s">
        <v>35</v>
      </c>
    </row>
    <row r="25" spans="1:10" x14ac:dyDescent="0.2">
      <c r="A25" s="4">
        <v>24</v>
      </c>
      <c r="B25" s="3" t="s">
        <v>25</v>
      </c>
      <c r="C25" s="1" t="s">
        <v>19</v>
      </c>
      <c r="D25" s="1" t="s">
        <v>23</v>
      </c>
      <c r="E25" s="1" t="s">
        <v>24</v>
      </c>
      <c r="F25" s="4">
        <v>2023</v>
      </c>
      <c r="G25" s="2">
        <v>246.04</v>
      </c>
      <c r="H25" s="2">
        <v>0</v>
      </c>
      <c r="I25" s="2">
        <v>29.15</v>
      </c>
      <c r="J25" s="2" t="s">
        <v>36</v>
      </c>
    </row>
    <row r="26" spans="1:10" x14ac:dyDescent="0.2">
      <c r="A26" s="4">
        <v>25</v>
      </c>
      <c r="B26" s="3" t="s">
        <v>25</v>
      </c>
      <c r="C26" s="1" t="s">
        <v>19</v>
      </c>
      <c r="D26" s="1" t="s">
        <v>23</v>
      </c>
      <c r="E26" s="1" t="s">
        <v>24</v>
      </c>
      <c r="F26" s="4">
        <v>2024</v>
      </c>
      <c r="G26" s="2">
        <v>299.73</v>
      </c>
      <c r="H26" s="2">
        <v>0</v>
      </c>
      <c r="I26" s="2">
        <v>40.72</v>
      </c>
      <c r="J26" s="2" t="s">
        <v>37</v>
      </c>
    </row>
    <row r="27" spans="1:10" x14ac:dyDescent="0.2">
      <c r="A27" s="4">
        <v>26</v>
      </c>
      <c r="B27" t="s">
        <v>40</v>
      </c>
      <c r="C27" s="1" t="s">
        <v>15</v>
      </c>
      <c r="D27" s="1" t="s">
        <v>38</v>
      </c>
      <c r="E27" s="1" t="s">
        <v>39</v>
      </c>
      <c r="F27" s="4">
        <v>2005</v>
      </c>
      <c r="G27" s="2">
        <v>0</v>
      </c>
      <c r="H27" s="2">
        <v>130.6</v>
      </c>
      <c r="I27" s="2">
        <v>0</v>
      </c>
      <c r="J27" s="2">
        <v>0</v>
      </c>
    </row>
    <row r="28" spans="1:10" x14ac:dyDescent="0.2">
      <c r="A28" s="4">
        <v>27</v>
      </c>
      <c r="B28" t="s">
        <v>40</v>
      </c>
      <c r="C28" s="1" t="s">
        <v>15</v>
      </c>
      <c r="D28" s="1" t="s">
        <v>38</v>
      </c>
      <c r="E28" s="1" t="s">
        <v>39</v>
      </c>
      <c r="F28" s="4">
        <v>2006</v>
      </c>
      <c r="G28" s="2">
        <v>0</v>
      </c>
      <c r="H28" s="2">
        <v>172.53</v>
      </c>
      <c r="I28" s="2">
        <v>0</v>
      </c>
      <c r="J28" s="2">
        <v>0</v>
      </c>
    </row>
    <row r="29" spans="1:10" x14ac:dyDescent="0.2">
      <c r="A29" s="4">
        <v>28</v>
      </c>
      <c r="B29" t="s">
        <v>40</v>
      </c>
      <c r="C29" s="1" t="s">
        <v>15</v>
      </c>
      <c r="D29" s="1" t="s">
        <v>38</v>
      </c>
      <c r="E29" s="1" t="s">
        <v>39</v>
      </c>
      <c r="F29" s="4">
        <v>2007</v>
      </c>
      <c r="G29" s="2">
        <v>0</v>
      </c>
      <c r="H29" s="2">
        <f>H30*0.95</f>
        <v>451.69656079049986</v>
      </c>
      <c r="I29" s="2">
        <v>0</v>
      </c>
      <c r="J29" s="2">
        <v>0</v>
      </c>
    </row>
    <row r="30" spans="1:10" x14ac:dyDescent="0.2">
      <c r="A30" s="4">
        <v>29</v>
      </c>
      <c r="B30" t="s">
        <v>40</v>
      </c>
      <c r="C30" s="1" t="s">
        <v>15</v>
      </c>
      <c r="D30" s="1" t="s">
        <v>38</v>
      </c>
      <c r="E30" s="1" t="s">
        <v>39</v>
      </c>
      <c r="F30" s="4">
        <v>2008</v>
      </c>
      <c r="G30" s="2">
        <v>0</v>
      </c>
      <c r="H30" s="2">
        <f>H31*0.9</f>
        <v>475.47006398999986</v>
      </c>
      <c r="I30" s="2">
        <v>0</v>
      </c>
      <c r="J30" s="2">
        <v>0</v>
      </c>
    </row>
    <row r="31" spans="1:10" x14ac:dyDescent="0.2">
      <c r="A31" s="4">
        <v>30</v>
      </c>
      <c r="B31" t="s">
        <v>40</v>
      </c>
      <c r="C31" s="1" t="s">
        <v>15</v>
      </c>
      <c r="D31" s="1" t="s">
        <v>38</v>
      </c>
      <c r="E31" s="1" t="s">
        <v>39</v>
      </c>
      <c r="F31" s="4">
        <v>2009</v>
      </c>
      <c r="G31" s="2">
        <v>0</v>
      </c>
      <c r="H31" s="2">
        <f>H32*0.9</f>
        <v>528.30007109999985</v>
      </c>
      <c r="I31" s="2">
        <v>0</v>
      </c>
      <c r="J31" s="2">
        <v>0</v>
      </c>
    </row>
    <row r="32" spans="1:10" x14ac:dyDescent="0.2">
      <c r="A32" s="4">
        <v>31</v>
      </c>
      <c r="B32" t="s">
        <v>40</v>
      </c>
      <c r="C32" s="1" t="s">
        <v>15</v>
      </c>
      <c r="D32" s="1" t="s">
        <v>38</v>
      </c>
      <c r="E32" s="1" t="s">
        <v>39</v>
      </c>
      <c r="F32" s="4">
        <v>2010</v>
      </c>
      <c r="G32" s="2">
        <v>0</v>
      </c>
      <c r="H32" s="2">
        <f>H33*0.8</f>
        <v>587.0000789999998</v>
      </c>
      <c r="I32" s="2">
        <v>0</v>
      </c>
      <c r="J32" s="2">
        <v>0</v>
      </c>
    </row>
    <row r="33" spans="1:10" x14ac:dyDescent="0.2">
      <c r="A33" s="4">
        <v>32</v>
      </c>
      <c r="B33" t="s">
        <v>40</v>
      </c>
      <c r="C33" s="1" t="s">
        <v>15</v>
      </c>
      <c r="D33" s="1" t="s">
        <v>38</v>
      </c>
      <c r="E33" s="1" t="s">
        <v>39</v>
      </c>
      <c r="F33" s="4">
        <v>2011</v>
      </c>
      <c r="G33" s="2">
        <v>0</v>
      </c>
      <c r="H33" s="2">
        <f>H34*0.95</f>
        <v>733.75009874999978</v>
      </c>
      <c r="I33" s="2">
        <v>0</v>
      </c>
      <c r="J33" s="2">
        <v>0</v>
      </c>
    </row>
    <row r="34" spans="1:10" x14ac:dyDescent="0.2">
      <c r="A34" s="4">
        <v>33</v>
      </c>
      <c r="B34" t="s">
        <v>40</v>
      </c>
      <c r="C34" s="1" t="s">
        <v>15</v>
      </c>
      <c r="D34" s="1" t="s">
        <v>38</v>
      </c>
      <c r="E34" s="1" t="s">
        <v>39</v>
      </c>
      <c r="F34" s="4">
        <v>2012</v>
      </c>
      <c r="G34" s="2">
        <v>0</v>
      </c>
      <c r="H34" s="2">
        <f>H35*0.95</f>
        <v>772.36852499999986</v>
      </c>
      <c r="I34" s="2">
        <v>0</v>
      </c>
      <c r="J34" s="2">
        <v>0</v>
      </c>
    </row>
    <row r="35" spans="1:10" x14ac:dyDescent="0.2">
      <c r="A35" s="4">
        <v>34</v>
      </c>
      <c r="B35" t="s">
        <v>40</v>
      </c>
      <c r="C35" s="1" t="s">
        <v>15</v>
      </c>
      <c r="D35" s="1" t="s">
        <v>38</v>
      </c>
      <c r="E35" s="1" t="s">
        <v>39</v>
      </c>
      <c r="F35" s="4">
        <v>2013</v>
      </c>
      <c r="G35" s="2">
        <v>0</v>
      </c>
      <c r="H35" s="2">
        <f>H36*0.95</f>
        <v>813.01949999999988</v>
      </c>
      <c r="I35" s="2">
        <v>0</v>
      </c>
      <c r="J35" s="2">
        <v>0</v>
      </c>
    </row>
    <row r="36" spans="1:10" x14ac:dyDescent="0.2">
      <c r="A36" s="4">
        <v>35</v>
      </c>
      <c r="B36" t="s">
        <v>40</v>
      </c>
      <c r="C36" s="1" t="s">
        <v>15</v>
      </c>
      <c r="D36" s="1" t="s">
        <v>38</v>
      </c>
      <c r="E36" s="1" t="s">
        <v>39</v>
      </c>
      <c r="F36" s="4">
        <v>2014</v>
      </c>
      <c r="G36" s="2">
        <v>0</v>
      </c>
      <c r="H36" s="2">
        <v>855.81</v>
      </c>
      <c r="I36" s="2">
        <v>0</v>
      </c>
      <c r="J36" s="2">
        <v>0</v>
      </c>
    </row>
    <row r="37" spans="1:10" x14ac:dyDescent="0.2">
      <c r="A37" s="4">
        <v>36</v>
      </c>
      <c r="B37" t="s">
        <v>40</v>
      </c>
      <c r="C37" s="1" t="s">
        <v>15</v>
      </c>
      <c r="D37" s="1" t="s">
        <v>38</v>
      </c>
      <c r="E37" s="1" t="s">
        <v>39</v>
      </c>
      <c r="F37" s="4">
        <v>2015</v>
      </c>
      <c r="G37" s="2">
        <v>0</v>
      </c>
      <c r="H37" s="2">
        <f>537.09+200</f>
        <v>737.09</v>
      </c>
      <c r="I37" s="2">
        <v>0</v>
      </c>
      <c r="J37" s="2">
        <v>0</v>
      </c>
    </row>
    <row r="38" spans="1:10" x14ac:dyDescent="0.2">
      <c r="A38" s="4">
        <v>37</v>
      </c>
      <c r="B38" t="s">
        <v>40</v>
      </c>
      <c r="C38" s="1" t="s">
        <v>15</v>
      </c>
      <c r="D38" s="1" t="s">
        <v>38</v>
      </c>
      <c r="E38" s="1" t="s">
        <v>39</v>
      </c>
      <c r="F38" s="4">
        <v>2016</v>
      </c>
      <c r="G38" s="2">
        <v>0</v>
      </c>
      <c r="H38" s="2">
        <f>170.52+200</f>
        <v>370.52</v>
      </c>
      <c r="I38" s="2">
        <v>1.57</v>
      </c>
      <c r="J38" s="2">
        <v>2.0699999999999998</v>
      </c>
    </row>
    <row r="39" spans="1:10" x14ac:dyDescent="0.2">
      <c r="A39" s="4">
        <v>38</v>
      </c>
      <c r="B39" t="s">
        <v>40</v>
      </c>
      <c r="C39" s="1" t="s">
        <v>15</v>
      </c>
      <c r="D39" s="1" t="s">
        <v>38</v>
      </c>
      <c r="E39" s="1" t="s">
        <v>39</v>
      </c>
      <c r="F39" s="4">
        <v>2017</v>
      </c>
      <c r="G39" s="2">
        <v>0</v>
      </c>
      <c r="H39" s="2">
        <v>418.95</v>
      </c>
      <c r="I39" s="2">
        <v>1.21</v>
      </c>
      <c r="J39" s="2">
        <v>2.88</v>
      </c>
    </row>
    <row r="40" spans="1:10" x14ac:dyDescent="0.2">
      <c r="A40" s="4">
        <v>39</v>
      </c>
      <c r="B40" t="s">
        <v>40</v>
      </c>
      <c r="C40" s="1" t="s">
        <v>15</v>
      </c>
      <c r="D40" s="1" t="s">
        <v>38</v>
      </c>
      <c r="E40" s="1" t="s">
        <v>39</v>
      </c>
      <c r="F40" s="4">
        <v>2018</v>
      </c>
      <c r="G40" s="2">
        <v>1.29</v>
      </c>
      <c r="H40" s="2">
        <v>365.01</v>
      </c>
      <c r="I40" s="2">
        <v>2.4500000000000002</v>
      </c>
      <c r="J40" s="2">
        <v>3.38</v>
      </c>
    </row>
    <row r="41" spans="1:10" x14ac:dyDescent="0.2">
      <c r="A41" s="4">
        <v>40</v>
      </c>
      <c r="B41" t="s">
        <v>40</v>
      </c>
      <c r="C41" s="1" t="s">
        <v>15</v>
      </c>
      <c r="D41" s="1" t="s">
        <v>38</v>
      </c>
      <c r="E41" s="1" t="s">
        <v>39</v>
      </c>
      <c r="F41" s="4">
        <v>2019</v>
      </c>
      <c r="G41" s="2">
        <v>2.14</v>
      </c>
      <c r="H41" s="2">
        <v>0</v>
      </c>
      <c r="I41" s="2">
        <v>13.37</v>
      </c>
      <c r="J41" s="2">
        <v>3.74</v>
      </c>
    </row>
    <row r="42" spans="1:10" x14ac:dyDescent="0.2">
      <c r="A42" s="4">
        <v>41</v>
      </c>
      <c r="B42" t="s">
        <v>40</v>
      </c>
      <c r="C42" s="1" t="s">
        <v>15</v>
      </c>
      <c r="D42" s="1" t="s">
        <v>38</v>
      </c>
      <c r="E42" s="1" t="s">
        <v>39</v>
      </c>
      <c r="F42" s="4">
        <v>2020</v>
      </c>
      <c r="G42" s="2">
        <v>0.94</v>
      </c>
      <c r="H42" s="2">
        <v>0</v>
      </c>
      <c r="I42" s="2">
        <v>13.51</v>
      </c>
      <c r="J42" s="2">
        <v>4.6100000000000003</v>
      </c>
    </row>
    <row r="43" spans="1:10" x14ac:dyDescent="0.2">
      <c r="A43" s="4">
        <v>42</v>
      </c>
      <c r="B43" t="s">
        <v>40</v>
      </c>
      <c r="C43" s="1" t="s">
        <v>15</v>
      </c>
      <c r="D43" s="1" t="s">
        <v>38</v>
      </c>
      <c r="E43" s="1" t="s">
        <v>39</v>
      </c>
      <c r="F43" s="4">
        <v>2021</v>
      </c>
      <c r="G43" s="2">
        <v>5.03</v>
      </c>
      <c r="H43" s="2">
        <v>0</v>
      </c>
      <c r="I43" s="2">
        <v>14.8</v>
      </c>
      <c r="J43" s="2">
        <v>2.71</v>
      </c>
    </row>
    <row r="44" spans="1:10" x14ac:dyDescent="0.2">
      <c r="A44" s="4">
        <v>43</v>
      </c>
      <c r="B44" t="s">
        <v>40</v>
      </c>
      <c r="C44" s="1" t="s">
        <v>15</v>
      </c>
      <c r="D44" s="1" t="s">
        <v>38</v>
      </c>
      <c r="E44" s="1" t="s">
        <v>39</v>
      </c>
      <c r="F44" s="4">
        <v>2022</v>
      </c>
      <c r="G44" s="2">
        <v>28.35</v>
      </c>
      <c r="H44" s="2">
        <v>0</v>
      </c>
      <c r="I44" s="2">
        <v>20.61</v>
      </c>
      <c r="J44" s="2">
        <v>1.96</v>
      </c>
    </row>
    <row r="45" spans="1:10" x14ac:dyDescent="0.2">
      <c r="A45" s="4">
        <v>44</v>
      </c>
      <c r="B45" t="s">
        <v>40</v>
      </c>
      <c r="C45" s="1" t="s">
        <v>15</v>
      </c>
      <c r="D45" s="1" t="s">
        <v>38</v>
      </c>
      <c r="E45" s="1" t="s">
        <v>39</v>
      </c>
      <c r="F45" s="4">
        <v>2023</v>
      </c>
      <c r="G45" s="2">
        <v>29.46</v>
      </c>
      <c r="H45" s="2">
        <v>0</v>
      </c>
      <c r="I45" s="2">
        <v>26.57</v>
      </c>
      <c r="J45" s="2">
        <v>1.72</v>
      </c>
    </row>
    <row r="46" spans="1:10" x14ac:dyDescent="0.2">
      <c r="A46" s="4">
        <v>45</v>
      </c>
      <c r="B46" t="s">
        <v>40</v>
      </c>
      <c r="C46" s="1" t="s">
        <v>15</v>
      </c>
      <c r="D46" s="1" t="s">
        <v>38</v>
      </c>
      <c r="E46" s="1" t="s">
        <v>39</v>
      </c>
      <c r="F46" s="4">
        <v>2024</v>
      </c>
      <c r="G46" s="2">
        <v>30.15</v>
      </c>
      <c r="H46" s="2">
        <v>0</v>
      </c>
      <c r="I46" s="2">
        <v>30.01</v>
      </c>
      <c r="J46" s="2">
        <v>1.76</v>
      </c>
    </row>
    <row r="47" spans="1:10" x14ac:dyDescent="0.2">
      <c r="C47" s="1"/>
      <c r="D47" s="1"/>
      <c r="E47" s="1"/>
    </row>
  </sheetData>
  <phoneticPr fontId="2" type="noConversion"/>
  <hyperlinks>
    <hyperlink ref="B12" r:id="rId1" xr:uid="{1CBC042E-1B7C-0B45-9399-E221D632FDB7}"/>
    <hyperlink ref="B13:B26" r:id="rId2" display="https://www.rusprofile.ru/accounting?ogrn=1067746535944" xr:uid="{B7C35988-1D3E-194E-9F87-5519B0FDFB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Артём Ясин</dc:creator>
  <cp:lastModifiedBy>Артём Ясин</cp:lastModifiedBy>
  <dcterms:created xsi:type="dcterms:W3CDTF">2025-11-28T12:53:07Z</dcterms:created>
  <dcterms:modified xsi:type="dcterms:W3CDTF">2025-11-30T07:14:39Z</dcterms:modified>
</cp:coreProperties>
</file>