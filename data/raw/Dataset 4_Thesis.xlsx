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minigalimov/Desktop/Обучение/Fudan University/Thesis/Data/Thesis/"/>
    </mc:Choice>
  </mc:AlternateContent>
  <xr:revisionPtr revIDLastSave="0" documentId="13_ncr:1_{085EC5A3-3668-5545-8CF2-EFFF364A8872}" xr6:coauthVersionLast="47" xr6:coauthVersionMax="47" xr10:uidLastSave="{00000000-0000-0000-0000-000000000000}"/>
  <bookViews>
    <workbookView xWindow="6360" yWindow="760" windowWidth="23880" windowHeight="17340" xr2:uid="{38F5F27F-34F0-0D48-AA3B-A4DCB646A6FA}"/>
  </bookViews>
  <sheets>
    <sheet name="Dataset 4" sheetId="6" r:id="rId1"/>
  </sheets>
  <definedNames>
    <definedName name="_xlnm._FilterDatabase" localSheetId="0" hidden="1">'Dataset 4'!$B$1:$Q$106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6" l="1"/>
  <c r="K24" i="6"/>
  <c r="K7" i="6"/>
  <c r="K6" i="6"/>
  <c r="K61" i="6"/>
  <c r="K85" i="6"/>
  <c r="K90" i="6"/>
  <c r="K84" i="6"/>
  <c r="K88" i="6"/>
  <c r="K45" i="6"/>
  <c r="K52" i="6"/>
  <c r="K13" i="6"/>
  <c r="K15" i="6"/>
  <c r="K63" i="6"/>
  <c r="K82" i="6"/>
  <c r="K67" i="6"/>
  <c r="K2" i="6"/>
  <c r="K44" i="6"/>
  <c r="K72" i="6"/>
  <c r="K62" i="6"/>
  <c r="K34" i="6"/>
  <c r="K28" i="6"/>
  <c r="K27" i="6"/>
  <c r="K26" i="6"/>
  <c r="K23" i="6"/>
  <c r="K21" i="6"/>
  <c r="K11" i="6"/>
  <c r="K53" i="6"/>
  <c r="K68" i="6"/>
  <c r="K83" i="6"/>
  <c r="K43" i="6"/>
  <c r="K41" i="6"/>
  <c r="K73" i="6"/>
  <c r="K40" i="6"/>
  <c r="K39" i="6"/>
  <c r="K38" i="6"/>
  <c r="K37" i="6"/>
  <c r="K36" i="6"/>
  <c r="K35" i="6"/>
  <c r="K106" i="6"/>
  <c r="K105" i="6"/>
  <c r="K104" i="6"/>
  <c r="K103" i="6"/>
  <c r="K102" i="6"/>
  <c r="K101" i="6"/>
  <c r="K66" i="6"/>
  <c r="K9" i="6"/>
  <c r="K10" i="6"/>
  <c r="K32" i="6"/>
  <c r="K54" i="6"/>
  <c r="K58" i="6"/>
  <c r="K59" i="6"/>
  <c r="K60" i="6"/>
  <c r="K94" i="6"/>
  <c r="K96" i="6"/>
  <c r="K98" i="6"/>
  <c r="K16" i="6"/>
  <c r="K17" i="6"/>
  <c r="K42" i="6"/>
  <c r="K57" i="6"/>
  <c r="K93" i="6"/>
  <c r="K95" i="6"/>
  <c r="K97" i="6"/>
  <c r="K8" i="6"/>
  <c r="K4" i="6"/>
  <c r="K5" i="6"/>
  <c r="K74" i="6"/>
  <c r="K64" i="6"/>
  <c r="K33" i="6"/>
  <c r="K22" i="6"/>
  <c r="K19" i="6"/>
  <c r="K14" i="6"/>
  <c r="K81" i="6"/>
  <c r="K79" i="6"/>
  <c r="K78" i="6"/>
  <c r="K47" i="6"/>
  <c r="K46" i="6"/>
  <c r="K76" i="6"/>
  <c r="K25" i="6"/>
  <c r="K99" i="6"/>
  <c r="K55" i="6"/>
  <c r="K100" i="6"/>
  <c r="K51" i="6"/>
  <c r="K49" i="6"/>
  <c r="K12" i="6"/>
  <c r="K65" i="6"/>
  <c r="K71" i="6"/>
  <c r="K80" i="6"/>
  <c r="K89" i="6"/>
  <c r="K18" i="6"/>
  <c r="K75" i="6"/>
  <c r="K56" i="6"/>
  <c r="K29" i="6"/>
  <c r="K70" i="6"/>
  <c r="K31" i="6"/>
  <c r="K30" i="6"/>
  <c r="K20" i="6"/>
</calcChain>
</file>

<file path=xl/sharedStrings.xml><?xml version="1.0" encoding="utf-8"?>
<sst xmlns="http://schemas.openxmlformats.org/spreadsheetml/2006/main" count="1107" uniqueCount="294">
  <si>
    <t>Country</t>
  </si>
  <si>
    <t>ROI</t>
  </si>
  <si>
    <t>Article</t>
  </si>
  <si>
    <t>Giel and Issa (2013)</t>
  </si>
  <si>
    <t>Conde et al. (2020)</t>
  </si>
  <si>
    <t>Kim et al. (2020)</t>
  </si>
  <si>
    <t>Lee et al. (2012)</t>
  </si>
  <si>
    <t>Lee and Lee (2020)</t>
  </si>
  <si>
    <t>McGraw-Hill (2012)</t>
  </si>
  <si>
    <t>Stowe et al. (2015)</t>
  </si>
  <si>
    <t>Ham et al. (2018)</t>
  </si>
  <si>
    <t>Abdelbary et al. (2020)</t>
  </si>
  <si>
    <t>Sacks and Barak (2008)</t>
  </si>
  <si>
    <t>Khanzode et al. (2008)</t>
  </si>
  <si>
    <t>Barlish and Sullivan (2012)</t>
  </si>
  <si>
    <t>Honnappa and Padala (2022)</t>
  </si>
  <si>
    <t>Love et al. (2013)</t>
  </si>
  <si>
    <t>Williams (2011)</t>
  </si>
  <si>
    <t>Neelamkavil and Ahmed (2012)</t>
  </si>
  <si>
    <t>https://ascelibrary.org/doi/10.1061/%28ASCE%29LM.1943-5630.0000127</t>
  </si>
  <si>
    <t>https://ascelibrary.org/doi/abs/10.1061/(ASCE)CP.1943-5487.0000164</t>
  </si>
  <si>
    <t>Stage</t>
  </si>
  <si>
    <t>Estimation</t>
  </si>
  <si>
    <t>https://ir-api.ua.edu/api/core/bitstreams/0741d860-e466-407b-a3ff-84d2b2a696e6/content</t>
  </si>
  <si>
    <t>Comment</t>
  </si>
  <si>
    <t>A change order is usually the result of an owner-initiated change in the scope or time frame of a project, unforeseen conditions that require change, or a design error/omission that results in change</t>
  </si>
  <si>
    <t>Reduction in the number of changes of orders</t>
  </si>
  <si>
    <t>Bruhn III (2014)</t>
  </si>
  <si>
    <t>A RFI is a formal written process in which parties clarify information gaps in construction documents (McGraw-Hill, 2008). Incomplete, unclear or outdated technical specifications, and the lack of buildability result in continuous RFIs thereby, interruptions to the work progress (Jarkas and Bitar, 2012; Rivas et al., 2011; Hasan et al., 2018). This creates friction between the architect/engineers and the contractor</t>
  </si>
  <si>
    <t>Reduction in number of Request of information</t>
  </si>
  <si>
    <t>Link</t>
  </si>
  <si>
    <t>Effects per project</t>
  </si>
  <si>
    <t>https://journals.vilniustech.lt/index.php/JCEM/article/view/12611</t>
  </si>
  <si>
    <t>100% - Time with BIM / Time without BIM</t>
  </si>
  <si>
    <t>https://www.tandfonline.com/doi/full/10.1080/13467581.2020.1800471</t>
  </si>
  <si>
    <t>https://www.set-science.com/pdf_view.php?cacryn=SIAP2025&amp;cid=100&amp;pid=16&amp;fv=SETSCI_SIAP2025_00100_0016</t>
  </si>
  <si>
    <t>Kocakaya et al. (2025)</t>
  </si>
  <si>
    <t>http://www.engineering.nottingham.ac.uk/icccbe/proceedings/pdf/pf77.pdf</t>
  </si>
  <si>
    <t>Giel and Issa (2011)</t>
  </si>
  <si>
    <t>https://pdf.sciencedirectassets.com/271427/1-s2.0-S0926580512X00025/1-s2.0-S0926580511002287/main.pdf?X-Amz-Security-Token=IQoJb3JpZ2luX2VjEHMaCXVzLWVhc3QtMSJHMEUCIQCTHxmV4bjR%2FdmMCgG%2B7JxbH3qaql1XFYJYiWLxOjxH4wIgOFpq2Ms5iK%2FXu0Evh5YdtReJuup0Zp8UWYJq0KeKc04qswUIOxAFGgwwNTkwMDM1NDY4NjUiDJbTzi6Yk0n%2FY0OTtiqQBbuzjQ1HafqleC6K7XYZytcb0hLraJ2BykDtf1ls4GmtJRWZNgZA0qqIQ0kHueS9peL8y2Ti%2BT%2FJEuJER%2BeSdWju9%2B2U4VAa8vNG%2FTIXbpjpLe8QXXRbaLtHWTvTEf5poUPCWkynoxLK5PRYeGtsGQPSrScYhUX1xX62G05Rwl%2Fi%2FS0hbUtKfVVLGgbMy%2FqvuDi5o6B6RSR%2F5QVSYvtXaZNwqGBFLpMANG7VB5%2BhV1xt0ZhTo1kWmsGqr%2BupZfUfMa3WawlR%2BGo3CTbDhwIWu7SePX6Va2RmPMBW89sHfjMHjaSw0bqg6QxTYNd%2FhiQUagSdwlWlPzTxdEIcJ4dvr24yvtu9vHlqIyGg712h7OzFkcpPkao20YeodZPOHA9jBFcFRs8PDovrdk3Chr33tgB5tu%2FIExWEBLQxgPqw0pQHNPjul1%2F77WjTzlHnBu%2FIoFuAmFhHjSKQGtEZfVI%2FGOURQ8kyH6wL8PoCdWwx%2FT8TNUxcLimEepZGxMLdJIDbhTrcE0fkg2zvgxxAdUHnnLMXNY9hR7FClvbXbtB%2Fme1ElvT40j1YK1FvQNmZHeprUlsury%2FIBBShat4hP4dlBtLW5tcSaw497b2rdn%2BV5SqooQ8bnw7qpwTC9iV28d0L2QxR1azs2vXxwC1Ee6suzZBY6DnA6PdCLEBdDVuAELypsPd3IV7rqUB0MAUnq3F8T%2FcP0AFCm74xRrtY6MgS3ISeckKTHda19u20ycgNByC%2ByNXATaVB146SL8zvDkV9SufDtMQjjMyItj9gOFhcD0FSU46MkKE10jiwM7gQ7EyfKNNFqZPrD3tqJhpzXJdvn4qcNXKbBK80w9IkBcNQMoZnY%2FhPKN55XqhjyGCNFrfyMOq%2Fi8kGOrEBTlgtxlQ1dS51fIgY7Ebvy%2BMd4T4BgWg%2FrW1fmmSGzlfXUH0M7GKZXkr5ZzCgUcJkeyN3MYMwr1N3o82EDZDsSjvqWBuBHERpIlrB9Zx2dfVfhRcxchCP0j8ib8eFq2Gio4B1tY6t%2FKG1Qgqq3ChrGhm9aWYvdqsV5V5mYTDANqWGyA40zcSPFaPi6C8HRtP4pR%2FIVXN8NOwVtGggh8gi9wc9plkiSYLyUpFhjPTmD1PT&amp;X-Amz-Algorithm=AWS4-HMAC-SHA256&amp;X-Amz-Date=20251123T111333Z&amp;X-Amz-SignedHeaders=host&amp;X-Amz-Expires=300&amp;X-Amz-Credential=ASIAQ3PHCVTYZUCS4NF5%2F20251123%2Fus-east-1%2Fs3%2Faws4_request&amp;X-Amz-Signature=3e5ca22e56272c6ee64bcd7ca67b90c91a902b784650a673808cacac4486fed3&amp;hash=23123c42ff3c765086dcf9a096891f27921083503cb8c90f1ee51ff46557061b&amp;host=68042c943591013ac2b2430a89b270f6af2c76d8dfd086a07176afe7c76c2c61&amp;pii=S0926580511002287&amp;tid=spdf-c98819ce-82ba-4452-b04c-04a860e52dab&amp;sid=307ace4a9ca7c24e7c09396891e5077dde20gxrqb&amp;type=client&amp;tsoh=d3d3LnNjaWVuY2VkaXJlY3QuY29t&amp;rh=d3d3LnNjaWVuY2VkaXJlY3QuY29t&amp;ua=01045602555056030157&amp;rr=9a303ce85fe0cd9d&amp;cc=gb</t>
  </si>
  <si>
    <t>https://journals.vilniustech.lt/index.php/JCEM/article/view/12185</t>
  </si>
  <si>
    <t>https://damassets.autodesk.net/content/dam/autodesk/www/solutions/building-information-modeling/bim-value/mhc-business-value-of-bim-in-north-america.pdf</t>
  </si>
  <si>
    <t>Reduction of budget overrun of total project value</t>
  </si>
  <si>
    <t>Year</t>
  </si>
  <si>
    <t>https://www.researchgate.net/publication/264627245_Capturing_the_ROI_of_All-in_Building_Information_Modeling_A_Structured_Approach</t>
  </si>
  <si>
    <t>https://doi.org/10.1016/j.autcon.2013.05.008</t>
  </si>
  <si>
    <t>https://doi.org/10.1016/j.autcon.2012.02.00</t>
  </si>
  <si>
    <t>https://doi.org/10.36680/j. itcon.2020.009. [41] H. Feng, M. Kassem, D. Gr</t>
  </si>
  <si>
    <t>https://www.researchgate.net/publication/325502466_Economic_Analysis_of_Design_Errors_in_BIM-Based_High-Rise_Construction_Projects_Case_Study_of_Haeundae_L_Project</t>
  </si>
  <si>
    <t>Sacks et al. (2003)</t>
  </si>
  <si>
    <t>https://www.pci.org/PCI_Docs/Publications/PCI%20Journal/2003/May-June/Process%20Improvements%20in%20Precast%20Concrete%20Construction%20Using%20Top-Down%20Parametric%203-D%20Computer%20Modeling.pdf</t>
  </si>
  <si>
    <t>Das et al (2025)</t>
  </si>
  <si>
    <t>https://www.researchgate.net/publication/388725098_The_impact_of_BIM_on_project_time_and_cost_insights_from_case_studies</t>
  </si>
  <si>
    <t>Dagmawi et al. (2025)</t>
  </si>
  <si>
    <t>https://www.researchgate.net/publication/396874076_Integration_of_Building_Information_Modelling_BIM_and_Digital_Twins_for_Lifecycle_Cost_Optimisation_in_Mega_Projects</t>
  </si>
  <si>
    <t>Increase in productivity</t>
  </si>
  <si>
    <t> fewer hours spent on drawing production</t>
  </si>
  <si>
    <t>https://pdf.sciencedirectassets.com/271427/1-s2.0-S0926580508X00020/1-s2.0-S0926580507001082/main.pdf?X-Amz-Security-Token=IQoJb3JpZ2luX2VjEKH%2F%2F%2F%2F%2F%2F%2F%2F%2F%2FwEaCXVzLWVhc3QtMSJIMEYCIQDQYmXRhfuBGCFrhvMfnih4R6sJPeVWWzNUcr%2BChPNG2gIhAIINKB%2Ffx%2BJLBhCqOk%2B2dI3Om0fzLAzj4XsGz2K4dsQQKrMFCGoQBRoMMDU5MDAzNTQ2ODY1IgzW5iYQMgy1hkCEUVwqkAXhQwtajj4MAyZqBpmDVWRDmNAiyLTLoYRKAKyItGgiSQgVsUXJb47x%2FLNRCPf8oodbCbnUisz02Rb85DUkn4Vs6SFp%2BFwFjd%2FKQJHxj9BK2Ra8AHXSQiYPAby%2BdhQ1v2WM06kVPoPdnjiQNyQHhX5a9%2BA4%2Fnz2QCEgjFgCZ8IVYw80y2DH7x%2BAFZr4UP1F7dUS9qJCZQ9WoXMyAHuwPHJK2p2n%2B6HkGd776XQi7K57rg%2FLn7%2B9pdi8zjki7EA9FOmF%2FvMaTobYqLG%2FB%2B5zu7jXW7PPk3DwE60DymRDxVzBwD5xtNMuY6819Ay2sDWIF%2Flr4f3gL5IcE9JuiVF2y5ySspT90RyXHhNoFFlrnMqPv5YsgMKypGSfzJNpSgQ0k%2B5E%2B6RZRNNF9JYrT5kvFLFInTFWsoGNujUdRrcjP11SmqW8UiJDNWy5k%2Bl5FM3T4mDIPhnSJczmEmUlu1X98jdOstBY0DmOGkrv%2BpVz8rspOU2ma7F8KP6PjvSsekwczB3yl3pG8arkAWATjcZpzes04PNLjHpisn0muLcu%2FGaSElRBewttCnovKzbYxJhBkJ6bvCswwWiwAwKVwEbzvHGzHtKNJpeTb2yQ1IeybHWx%2FPnHNWXWEPgZ2zggAGJIeDngBT0Foc20CY2mRKdhniqMcBTSag8q9VihJdBlYlKvwtzsQvBgx6Fr%2BfYISOiZE104FnLPgMsN9CmfSgL1sDFl1pMgmMoOEFc2xiFrc8z%2B0yXESA61H5c1bQ6a56NPGmVookgM7itmZZHYUqyWOCCeknt%2FIDkBm4VqdaUH%2FA30eudtF%2BR6NJ%2BnaSoBO3Y2TzXZxfHUUcP7oFwRBrIs8rbrWuxYms6Uko%2Fz8aPLFYxEwzDM4JXJBjqwAcGGqDTx1q4jsUuK0OVYtnQcllTgQOuE4g%2FjqVEH7iiBMkoGOBwd1ee4BO5qd%2BDm7RKI%2FaANXrohyPUC%2B8vYjWHfGe9qSIEB05emWK64eYcDCttigXj%2FbaK7n%2FCgWmmvGPBCZe5Pb02%2BwfZfabAg8d8To6ekhtVGGjWjYj5Ebf1iCVRsLzGhUfr9L2xcwWTEFsB%2FFe0deqCZATbZEEG6LOxUngLDefGWxhBIONaG13cX&amp;X-Amz-Algorithm=AWS4-HMAC-SHA256&amp;X-Amz-Date=20251125T101235Z&amp;X-Amz-SignedHeaders=host&amp;X-Amz-Expires=300&amp;X-Amz-Credential=ASIAQ3PHCVTYWKQ3ZYNC%2F20251125%2Fus-east-1%2Fs3%2Faws4_request&amp;X-Amz-Signature=30a1c685970dc0f3f148a3db0c2cacc9b666e5c443ba7e06163e13325a4dab5a&amp;hash=71d82162fcb4c51000f168ca4237be8d7a736e343f7d52a2069d8be026d3c773&amp;host=68042c943591013ac2b2430a89b270f6af2c76d8dfd086a07176afe7c76c2c61&amp;pii=S0926580507001082&amp;tid=spdf-ee7e3edd-9db4-496d-bb50-2b7cc6643b36&amp;sid=6249dfa59c2b8043cd0be979bd7f51776698gxrqb&amp;type=client&amp;tsoh=d3d3LnNjaWVuY2VkaXJlY3QuY29t&amp;rh=d3d3LnNjaWVuY2VkaXJlY3QuY29t&amp;ua=010457075a53510a5601&amp;rr=9a405e5b4fd3ef52&amp;cc=gb</t>
  </si>
  <si>
    <t>https://link.springer.com/article/10.1007/s42107-022-00451-x</t>
  </si>
  <si>
    <t>https://www.researchgate.net/publication/341242142_A_FRAMEWORK_FOR_EVALUATING_AN_INTEGRATED_BIM_ROI_BASED_ON_PREVENTING_REWORK_IN_THE_CONSTRUCTION_PHASE</t>
  </si>
  <si>
    <t>Lee et al. (2019)</t>
  </si>
  <si>
    <t>Reduction of rework costs</t>
  </si>
  <si>
    <t>Sacks et al. (2005)</t>
  </si>
  <si>
    <t>https://www.researchgate.net/publication/341242142_A_FRAMEWORK_FOR_EVALUATING_AN_INTEGRATED_BIM_ROI_BASED_ON_PREVENTING_REWORK_IN_THE_CONSTRUCTION_PHASE#read</t>
  </si>
  <si>
    <t xml:space="preserve"> Kang and Choi (2015)</t>
  </si>
  <si>
    <t>https://www.cdbb.cam.ac.uk/files/3._pwc_benefits_measurement_methodology.pdf</t>
  </si>
  <si>
    <t>PWC BIM Level 2 Benefits Measurement (2018)</t>
  </si>
  <si>
    <t>Cost saving in asset maintenance</t>
  </si>
  <si>
    <t>cost saving / operation opex</t>
  </si>
  <si>
    <t>https://www.cdbb.cam.ac.uk/files/4.pwcbmmapplicationreport_0.pdf</t>
  </si>
  <si>
    <t>Cost saving in build and commision</t>
  </si>
  <si>
    <t>https://nrc-publications.canada.ca/eng/view/ft/?id=af0db2c8-8d85-4e26-b584-f51ae0fa9eb5</t>
  </si>
  <si>
    <t>Chahrour et al. (2020)</t>
  </si>
  <si>
    <t>https://research.tees.ac.uk/ws/portalfiles/portal/24800290/Cost_benefit_analysis_of_BIM_enabled_design_clash_detection_and_resolution.pdf</t>
  </si>
  <si>
    <t>Luna et al. (2025)</t>
  </si>
  <si>
    <t>https://www.researchgate.net/publication/392333416_Building_Information_Modeling_BIM_for_Cost_Control_and_Technical_Supervision</t>
  </si>
  <si>
    <t>annual cost saving related to the asset value</t>
  </si>
  <si>
    <t>Annual cost savings</t>
  </si>
  <si>
    <t>Reduction of facility managment expenditures</t>
  </si>
  <si>
    <t>https://www.researchgate.net/publication/392350768_Monetizing_Digital_Innovation_in_the_AEC_Industry_Real_Estate_Value_Creation_Through_BIM_and_BMS_Integration</t>
  </si>
  <si>
    <t>Atencio et al. (2025)</t>
  </si>
  <si>
    <t>Sharma et al. (2025)</t>
  </si>
  <si>
    <t>https://www.researchgate.net/publication/391712462_Exploring_the_Impact_of_BIM_on_Construction_Project_in_Reducing_Life_Cycle_Cost</t>
  </si>
  <si>
    <t>Elbir U. (2025)</t>
  </si>
  <si>
    <t>https://onlinescientificresearch.com/articles/effects-of-bim-and-erp-integration-on-logistics-and-cost-management-in-largescale-construction-projects.pdf</t>
  </si>
  <si>
    <t>Cost saving in material ordering processes</t>
  </si>
  <si>
    <t>№</t>
  </si>
  <si>
    <t>A0001</t>
  </si>
  <si>
    <t>A0002</t>
  </si>
  <si>
    <t>A0003</t>
  </si>
  <si>
    <t>A0004</t>
  </si>
  <si>
    <t>A0005</t>
  </si>
  <si>
    <t>A0006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</si>
  <si>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</si>
  <si>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</si>
  <si>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</si>
  <si>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</si>
  <si>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</si>
  <si>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</si>
  <si>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</si>
  <si>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</si>
  <si>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</si>
  <si>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</si>
  <si>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</si>
  <si>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</si>
  <si>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</si>
  <si>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</si>
  <si>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</si>
  <si>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</si>
  <si>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</si>
  <si>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</si>
  <si>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</si>
  <si>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</si>
  <si>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</si>
  <si>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</si>
  <si>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</si>
  <si>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</si>
  <si>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</si>
  <si>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</si>
  <si>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</si>
  <si>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</si>
  <si>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</si>
  <si>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</si>
  <si>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</si>
  <si>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</si>
  <si>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</si>
  <si>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A0045</t>
  </si>
  <si>
    <t>A0046</t>
  </si>
  <si>
    <t>A0048</t>
  </si>
  <si>
    <t>A0049</t>
  </si>
  <si>
    <t>A0050</t>
  </si>
  <si>
    <t>A0051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</si>
  <si>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</si>
  <si>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</si>
  <si>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</si>
  <si>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</si>
  <si>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</si>
  <si>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</si>
  <si>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</si>
  <si>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</si>
  <si>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</si>
  <si>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</si>
  <si>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</si>
  <si>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</si>
  <si>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</si>
  <si>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</si>
  <si>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</si>
  <si>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</si>
  <si>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</si>
  <si>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</si>
  <si>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</si>
  <si>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</si>
  <si>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</si>
  <si>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</si>
  <si>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</si>
  <si>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</si>
  <si>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</si>
  <si>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</si>
  <si>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</si>
  <si>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</si>
  <si>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</si>
  <si>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</si>
  <si>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</si>
  <si>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</si>
  <si>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</si>
  <si>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</si>
  <si>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</si>
  <si>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</si>
  <si>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</si>
  <si>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</si>
  <si>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</si>
  <si>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</si>
  <si>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</si>
  <si>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</si>
  <si>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</si>
  <si>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</si>
  <si>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</si>
  <si>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</si>
  <si>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</si>
  <si>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</si>
  <si>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</si>
  <si>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</si>
  <si>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</si>
  <si>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</si>
  <si>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Azhar S. (2011)</t>
  </si>
  <si>
    <t>A0106</t>
  </si>
  <si>
    <t>A0107</t>
  </si>
  <si>
    <t>Nath et al. (2015)</t>
  </si>
  <si>
    <t>https://www.sciencedirect.com/science/article/pii/S0926580515000485?via%3Dihub</t>
  </si>
  <si>
    <t>A0108</t>
  </si>
  <si>
    <t>A0109</t>
  </si>
  <si>
    <t>https://www.researchgate.net/publication/283985475_BIM_perspective_definition_metadata_for_interworking_facility_management_data</t>
  </si>
  <si>
    <t>McConnell and Wang (2015)</t>
  </si>
  <si>
    <t>https://www.researchgate.net/publication/363946164_Cost-Benefit_Analysis_of_Building_Information_Modeling_Implementation_in_Construction_Projects_Evidence_from_Iran</t>
  </si>
  <si>
    <t>Azizi et al. (2022)</t>
  </si>
  <si>
    <t>A0110</t>
  </si>
  <si>
    <t>Unified metric</t>
  </si>
  <si>
    <t>Reduction of the number of the design errors on the design stage</t>
  </si>
  <si>
    <t>Reduction in the number of the design errors</t>
  </si>
  <si>
    <t xml:space="preserve">Reduction in the construction schedule </t>
  </si>
  <si>
    <t>The time, which is needed for the constraction, can decrease due to BIM</t>
  </si>
  <si>
    <t xml:space="preserve">Decrease in the number of changes, which are motivated by stakeholders, PM and engineers </t>
  </si>
  <si>
    <t>Reduction in the overrun of the total project construction value</t>
  </si>
  <si>
    <t>Reduction in time to complete the design stage</t>
  </si>
  <si>
    <t>Reduction in the cost of the rework</t>
  </si>
  <si>
    <t>Net BIM savings / Cost of BIM</t>
  </si>
  <si>
    <t>Return on investments (1)</t>
  </si>
  <si>
    <t>Return on investments (2)</t>
  </si>
  <si>
    <t>Reduction in number of RFI</t>
  </si>
  <si>
    <t>Reduction in the total project construction value</t>
  </si>
  <si>
    <t>Reduction in cost of the design stage</t>
  </si>
  <si>
    <t>The delay can be avoided due to the use of BIM</t>
  </si>
  <si>
    <t>Costs saved due to findings of design errors</t>
  </si>
  <si>
    <t>Annual reduction in overall FM expenditures</t>
  </si>
  <si>
    <t>Return on investments (3)</t>
  </si>
  <si>
    <t>Net BIM savings / Life cycle cost</t>
  </si>
  <si>
    <t>A0111</t>
  </si>
  <si>
    <t>A0112</t>
  </si>
  <si>
    <t>A0113</t>
  </si>
  <si>
    <t>Turkey</t>
  </si>
  <si>
    <t>Israel</t>
  </si>
  <si>
    <t>USA</t>
  </si>
  <si>
    <t>Canada</t>
  </si>
  <si>
    <t>Australia</t>
  </si>
  <si>
    <t>UK</t>
  </si>
  <si>
    <t>South Korea</t>
  </si>
  <si>
    <t>India</t>
  </si>
  <si>
    <t>Iran</t>
  </si>
  <si>
    <t>Spain</t>
  </si>
  <si>
    <t>Philippines</t>
  </si>
  <si>
    <t>Ethiopia</t>
  </si>
  <si>
    <t>Colombia</t>
  </si>
  <si>
    <t>DCF influence</t>
  </si>
  <si>
    <t>(пусто)</t>
  </si>
  <si>
    <t>Increase in finding and sharing asset information</t>
  </si>
  <si>
    <t>Improvement in coordination between different departments</t>
  </si>
  <si>
    <t>Reduction of logistics costs</t>
  </si>
  <si>
    <t>Cost saving from identifying clash detection</t>
  </si>
  <si>
    <t>Reduction of error in stock management</t>
  </si>
  <si>
    <t>Lifecycle cost savings</t>
  </si>
  <si>
    <t>Reduction in the number of losses of the inventory</t>
  </si>
  <si>
    <t>Reduction of time needed for the budget estimation</t>
  </si>
  <si>
    <t xml:space="preserve">Reduction in time of the construction schedule </t>
  </si>
  <si>
    <t>Reduction in time of the construction schedule delay</t>
  </si>
  <si>
    <t xml:space="preserve">Reduction time of the schedule </t>
  </si>
  <si>
    <t xml:space="preserve">Reduction in time of the schedule delay </t>
  </si>
  <si>
    <t>Reduction in the amount of unnecessary material expanses</t>
  </si>
  <si>
    <t>Savings in material procurement</t>
  </si>
  <si>
    <t>Time savings in design stage</t>
  </si>
  <si>
    <t>Score to the unified metric</t>
  </si>
  <si>
    <t>Cost savings in design stage</t>
  </si>
  <si>
    <t>Maintenance obligations</t>
  </si>
  <si>
    <t>Annual reduction in maintance expenditures</t>
  </si>
  <si>
    <t>Salary</t>
  </si>
  <si>
    <t>Annual reduction in salary  expenditures</t>
  </si>
  <si>
    <t xml:space="preserve">Construction stage_CAPEX </t>
  </si>
  <si>
    <t>Design stage_CAPEX</t>
  </si>
  <si>
    <t>Supportive links for the unified metrics</t>
  </si>
  <si>
    <t>Calculations</t>
  </si>
  <si>
    <t>1:1</t>
  </si>
  <si>
    <t>https://www.naiop.org/research-and-publications/magazine/2022/summer-2022/development-ownership/how-rfis-and-change-orders-disrupt-multifamily-development-projects/
assume from that RFI is 1,6% of the project cost</t>
  </si>
  <si>
    <t>https://www.naiop.org/research-and-publications/magazine/2022/summer-2022/development-ownership/how-rfis-and-change-orders-disrupt-multifamily-development-projects/
assume from that CoO is 12,8% of the project cost</t>
  </si>
  <si>
    <t>Due to the change of order rework needs to be done</t>
  </si>
  <si>
    <t>1,6% of CAPEX is RFI_CAPEX reduction</t>
  </si>
  <si>
    <t>12,8% of CAPEX is change of orders, change of orders leads to rework in 1:1_CAPEX reduction</t>
  </si>
  <si>
    <t>Construction stage schedule</t>
  </si>
  <si>
    <t>Design stage schedule</t>
  </si>
  <si>
    <t>Construction stage_CAPEX overrun</t>
  </si>
  <si>
    <t>https://www.researchgate.net/publication/237470054_Benefits_and_lessons_learned_of_implementing_Building_Virtual_Design_and_Construction_VDC_technologies_for_coordination_of_Mechanical_Electrical_and_Plumbing_MEP_systems_on_a_large_Healthcare_project</t>
  </si>
  <si>
    <t>BIM approach saved project value</t>
  </si>
  <si>
    <t>Construction stage schedule_delay</t>
  </si>
  <si>
    <t>Net BIM savings / CAPEX</t>
  </si>
  <si>
    <t xml:space="preserve">Annual reduction in salary  expenditures </t>
  </si>
  <si>
    <t>Not cumulative / American Productivity &amp; Quality Center (APQC) and other studies often find that knowledge workers can spend 15-20% of their time</t>
  </si>
  <si>
    <t xml:space="preserve">15% of working time is wasted time </t>
  </si>
  <si>
    <t>20% of working time is searching info</t>
  </si>
  <si>
    <t>https://bloomfire.com/blog/roi-knowledge-management/</t>
  </si>
  <si>
    <t>https://www.cincopa.com/blog/how-to-calculate-the-roi-of-knowledge-sharing/</t>
  </si>
  <si>
    <t>AI</t>
  </si>
  <si>
    <t>30% of the maintenance is connected with materials</t>
  </si>
  <si>
    <t>12,8% of CAPEX is change of orders, change of orders leads to rework in 1:0,8_CAPEX reduction</t>
  </si>
  <si>
    <t>12,8% of CAPEX is change of orders and on the design stage CoO is 1:0,2_CAPEX reduction</t>
  </si>
  <si>
    <t>12,8% of CAPEX is change of orders, change of orders leads to rework in 1:0,2_CAPEX reduction</t>
  </si>
  <si>
    <t>Assume that ligistics costs is 10% of the CAPEX</t>
  </si>
  <si>
    <t>Assume that material ordering process is 0,5% of the CAPEX</t>
  </si>
  <si>
    <t>Assume that 20% of CAPEX is material, 0,5% is loss of the inventory</t>
  </si>
  <si>
    <t>Assumption</t>
  </si>
  <si>
    <t>Assumption: 10% of design budget is the amount on the coordination</t>
  </si>
  <si>
    <t>Assumption: 3% of time is needed for the budget estimation</t>
  </si>
  <si>
    <t>2_Construction</t>
  </si>
  <si>
    <t>4_All stages</t>
  </si>
  <si>
    <t>1_Design</t>
  </si>
  <si>
    <t>3_Operation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</si>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</sst>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9" fontId="0" fillId="0" borderId="0" xfId="0" applyNumberFormat="1"/>
    <xf numFmtId="0" fontId="2" fillId="0" borderId="0" xfId="0" applyFont="1"/>
    <xf numFmtId="10" fontId="0" fillId="0" borderId="0" xfId="0" applyNumberFormat="1"/>
    <xf numFmtId="9" fontId="0" fillId="0" borderId="0" xfId="2" applyFont="1"/>
    <xf numFmtId="0" fontId="0" fillId="0" borderId="0" xfId="0" applyAlignment="1">
      <alignment horizontal="center"/>
    </xf>
    <xf numFmtId="0" fontId="1" fillId="0" borderId="0" xfId="1" applyAlignment="1"/>
    <xf numFmtId="164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2" quotePrefix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2" quotePrefix="1" applyNumberFormat="1" applyFont="1" applyAlignment="1"/>
    <xf numFmtId="164" fontId="0" fillId="0" borderId="0" xfId="2" applyNumberFormat="1" applyFont="1" applyAlignme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363946164_Cost-Benefit_Analysis_of_Building_Information_Modeling_Implementation_in_Construction_Projects_Evidence_from_Iran" TargetMode="External"/><Relationship Id="rId13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Relationship Id="rId18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CoO%20is%2012,8%25%20of%20the%20project%20cost" TargetMode="External"/><Relationship Id="rId3" Type="http://schemas.openxmlformats.org/officeDocument/2006/relationships/hyperlink" Target="https://www.researchgate.net/publication/325502466_Economic_Analysis_of_Design_Errors_in_BIM-Based_High-Rise_Construction_Projects_Case_Study_of_Haeundae_L_Project" TargetMode="External"/><Relationship Id="rId7" Type="http://schemas.openxmlformats.org/officeDocument/2006/relationships/hyperlink" Target="https://www.researchgate.net/publication/363946164_Cost-Benefit_Analysis_of_Building_Information_Modeling_Implementation_in_Construction_Projects_Evidence_from_Iran" TargetMode="External"/><Relationship Id="rId12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Relationship Id="rId17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CoO%20is%2012,8%25%20of%20the%20project%20cost" TargetMode="External"/><Relationship Id="rId2" Type="http://schemas.openxmlformats.org/officeDocument/2006/relationships/hyperlink" Target="https://doi.org/10.1016/j.autcon.2012.02.00" TargetMode="External"/><Relationship Id="rId16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Relationship Id="rId1" Type="http://schemas.openxmlformats.org/officeDocument/2006/relationships/hyperlink" Target="https://doi.org/10.1016/j.autcon.2013.05.008" TargetMode="External"/><Relationship Id="rId6" Type="http://schemas.openxmlformats.org/officeDocument/2006/relationships/hyperlink" Target="https://www.researchgate.net/publication/391712462_Exploring_the_Impact_of_BIM_on_Construction_Project_in_Reducing_Life_Cycle_Cost" TargetMode="External"/><Relationship Id="rId11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Relationship Id="rId5" Type="http://schemas.openxmlformats.org/officeDocument/2006/relationships/hyperlink" Target="https://www.researchgate.net/publication/391712462_Exploring_the_Impact_of_BIM_on_Construction_Project_in_Reducing_Life_Cycle_Cost" TargetMode="External"/><Relationship Id="rId15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Relationship Id="rId10" Type="http://schemas.openxmlformats.org/officeDocument/2006/relationships/hyperlink" Target="https://ascelibrary.org/doi/10.1061/%28ASCE%29LM.1943-5630.0000127" TargetMode="External"/><Relationship Id="rId19" Type="http://schemas.openxmlformats.org/officeDocument/2006/relationships/hyperlink" Target="https://bloomfire.com/blog/roi-knowledge-management/" TargetMode="External"/><Relationship Id="rId4" Type="http://schemas.openxmlformats.org/officeDocument/2006/relationships/hyperlink" Target="https://www.researchgate.net/publication/391712462_Exploring_the_Impact_of_BIM_on_Construction_Project_in_Reducing_Life_Cycle_Cost" TargetMode="External"/><Relationship Id="rId9" Type="http://schemas.openxmlformats.org/officeDocument/2006/relationships/hyperlink" Target="https://nrc-publications.canada.ca/eng/view/ft/?id=af0db2c8-8d85-4e26-b584-f51ae0fa9eb5" TargetMode="External"/><Relationship Id="rId14" Type="http://schemas.openxmlformats.org/officeDocument/2006/relationships/hyperlink" Target="https://www.naiop.org/research-and-publications/magazine/2022/summer-2022/development-ownership/how-rfis-and-change-orders-disrupt-multifamily-development-projects/%0aassume%20from%20that%20RFI%20is%201,6%25%20of%20the%20project%20c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9C1D-C2AD-DC45-B403-2D61E72EBB77}">
  <dimension ref="A1:R106"/>
  <sheetViews>
    <sheetView tabSelected="1" topLeftCell="H1" zoomScale="87" workbookViewId="0">
      <selection activeCell="K16" sqref="K16"/>
    </sheetView>
  </sheetViews>
  <sheetFormatPr baseColWidth="10" defaultRowHeight="16" x14ac:dyDescent="0.2"/>
  <cols>
    <col min="1" max="1" width="4.1640625" bestFit="1" customWidth="1"/>
    <col min="2" max="2" width="6.33203125" bestFit="1" customWidth="1"/>
    <col min="4" max="4" width="39.5" bestFit="1" customWidth="1"/>
    <col min="5" max="5" width="11.6640625" bestFit="1" customWidth="1"/>
    <col min="6" max="6" width="7.33203125" bestFit="1" customWidth="1"/>
    <col min="8" max="8" width="41.33203125" bestFit="1" customWidth="1"/>
    <col min="10" max="10" width="52.6640625" bestFit="1" customWidth="1"/>
    <col min="11" max="11" width="19.1640625" style="6" customWidth="1"/>
    <col min="12" max="12" width="14" style="8" bestFit="1" customWidth="1"/>
    <col min="13" max="13" width="28.5" style="6" bestFit="1" customWidth="1"/>
    <col min="14" max="14" width="27.33203125" customWidth="1"/>
    <col min="15" max="15" width="37.5" customWidth="1"/>
  </cols>
  <sheetData>
    <row r="1" spans="1:15" s="15" customFormat="1" x14ac:dyDescent="0.2">
      <c r="A1" s="15" t="s">
        <v>86</v>
      </c>
      <c r="B1" s="15" t="s">
        <v>293</v>
      </c>
      <c r="C1" s="15" t="s">
        <v>30</v>
      </c>
      <c r="D1" s="15" t="s">
        <v>2</v>
      </c>
      <c r="E1" s="15" t="s">
        <v>0</v>
      </c>
      <c r="F1" s="15" t="s">
        <v>43</v>
      </c>
      <c r="G1" s="15" t="s">
        <v>21</v>
      </c>
      <c r="H1" s="15" t="s">
        <v>31</v>
      </c>
      <c r="I1" s="15" t="s">
        <v>22</v>
      </c>
      <c r="J1" s="15" t="s">
        <v>196</v>
      </c>
      <c r="K1" s="15" t="s">
        <v>249</v>
      </c>
      <c r="L1" s="16" t="s">
        <v>258</v>
      </c>
      <c r="M1" s="15" t="s">
        <v>232</v>
      </c>
      <c r="N1" s="15" t="s">
        <v>24</v>
      </c>
      <c r="O1" s="17" t="s">
        <v>257</v>
      </c>
    </row>
    <row r="2" spans="1:15" x14ac:dyDescent="0.2">
      <c r="A2" s="6">
        <v>1</v>
      </c>
      <c r="B2" t="s">
        <v>87</v>
      </c>
      <c r="C2" t="s">
        <v>50</v>
      </c>
      <c r="D2" t="s">
        <v>49</v>
      </c>
      <c r="E2" s="6" t="s">
        <v>220</v>
      </c>
      <c r="F2">
        <v>2003</v>
      </c>
      <c r="G2" t="s">
        <v>291</v>
      </c>
      <c r="H2" t="s">
        <v>198</v>
      </c>
      <c r="I2" s="2">
        <v>0.5</v>
      </c>
      <c r="J2" t="s">
        <v>198</v>
      </c>
      <c r="K2" s="9">
        <f>I2*12.8%*0.2</f>
        <v>1.2800000000000001E-2</v>
      </c>
      <c r="L2" s="13" t="s">
        <v>282</v>
      </c>
      <c r="M2" s="10" t="s">
        <v>256</v>
      </c>
      <c r="N2" t="s">
        <v>197</v>
      </c>
      <c r="O2" t="s">
        <v>233</v>
      </c>
    </row>
    <row r="3" spans="1:15" x14ac:dyDescent="0.2">
      <c r="A3" s="6">
        <v>2</v>
      </c>
      <c r="B3" t="s">
        <v>88</v>
      </c>
      <c r="C3" t="s">
        <v>63</v>
      </c>
      <c r="D3" t="s">
        <v>62</v>
      </c>
      <c r="E3" s="6" t="s">
        <v>220</v>
      </c>
      <c r="F3">
        <v>2005</v>
      </c>
      <c r="G3" t="s">
        <v>289</v>
      </c>
      <c r="H3" t="s">
        <v>55</v>
      </c>
      <c r="I3" s="4">
        <v>2.3E-2</v>
      </c>
      <c r="J3" t="s">
        <v>199</v>
      </c>
      <c r="K3" s="9">
        <v>2.3E-2</v>
      </c>
      <c r="L3" s="13" t="s">
        <v>259</v>
      </c>
      <c r="M3" s="12" t="s">
        <v>265</v>
      </c>
      <c r="N3" t="s">
        <v>200</v>
      </c>
      <c r="O3" t="s">
        <v>233</v>
      </c>
    </row>
    <row r="4" spans="1:15" x14ac:dyDescent="0.2">
      <c r="A4" s="6">
        <v>3</v>
      </c>
      <c r="B4" t="s">
        <v>89</v>
      </c>
      <c r="C4" t="s">
        <v>268</v>
      </c>
      <c r="D4" t="s">
        <v>13</v>
      </c>
      <c r="E4" s="6" t="s">
        <v>221</v>
      </c>
      <c r="F4">
        <v>2008</v>
      </c>
      <c r="G4" t="s">
        <v>289</v>
      </c>
      <c r="H4" t="s">
        <v>269</v>
      </c>
      <c r="I4" s="2">
        <v>7.6899999999999996E-2</v>
      </c>
      <c r="J4" t="s">
        <v>209</v>
      </c>
      <c r="K4" s="9">
        <f t="shared" ref="K4:K10" si="0">I4</f>
        <v>7.6899999999999996E-2</v>
      </c>
      <c r="L4" s="13" t="s">
        <v>259</v>
      </c>
      <c r="M4" s="10" t="s">
        <v>255</v>
      </c>
      <c r="N4" t="s">
        <v>200</v>
      </c>
      <c r="O4" t="s">
        <v>233</v>
      </c>
    </row>
    <row r="5" spans="1:15" x14ac:dyDescent="0.2">
      <c r="A5" s="6">
        <v>4</v>
      </c>
      <c r="B5" t="s">
        <v>90</v>
      </c>
      <c r="C5" s="1" t="s">
        <v>268</v>
      </c>
      <c r="D5" t="s">
        <v>13</v>
      </c>
      <c r="E5" s="6" t="s">
        <v>221</v>
      </c>
      <c r="F5">
        <v>2008</v>
      </c>
      <c r="G5" t="s">
        <v>289</v>
      </c>
      <c r="H5" t="s">
        <v>244</v>
      </c>
      <c r="I5" s="2">
        <v>0.13</v>
      </c>
      <c r="J5" t="s">
        <v>242</v>
      </c>
      <c r="K5" s="9">
        <f t="shared" si="0"/>
        <v>0.13</v>
      </c>
      <c r="L5" s="13" t="s">
        <v>259</v>
      </c>
      <c r="M5" s="12" t="s">
        <v>265</v>
      </c>
      <c r="N5" t="s">
        <v>200</v>
      </c>
      <c r="O5" t="s">
        <v>233</v>
      </c>
    </row>
    <row r="6" spans="1:15" x14ac:dyDescent="0.2">
      <c r="A6" s="6">
        <v>5</v>
      </c>
      <c r="B6" t="s">
        <v>91</v>
      </c>
      <c r="C6" t="s">
        <v>57</v>
      </c>
      <c r="D6" t="s">
        <v>12</v>
      </c>
      <c r="E6" s="6" t="s">
        <v>220</v>
      </c>
      <c r="F6">
        <v>2008</v>
      </c>
      <c r="G6" t="s">
        <v>291</v>
      </c>
      <c r="H6" t="s">
        <v>55</v>
      </c>
      <c r="I6" s="2">
        <v>0.15</v>
      </c>
      <c r="J6" t="s">
        <v>203</v>
      </c>
      <c r="K6" s="9">
        <f t="shared" si="0"/>
        <v>0.15</v>
      </c>
      <c r="L6" s="13" t="s">
        <v>259</v>
      </c>
      <c r="M6" s="10" t="s">
        <v>266</v>
      </c>
      <c r="N6" t="s">
        <v>56</v>
      </c>
      <c r="O6" t="s">
        <v>233</v>
      </c>
    </row>
    <row r="7" spans="1:15" x14ac:dyDescent="0.2">
      <c r="A7" s="6">
        <v>6</v>
      </c>
      <c r="B7" t="s">
        <v>92</v>
      </c>
      <c r="C7" t="s">
        <v>57</v>
      </c>
      <c r="D7" t="s">
        <v>12</v>
      </c>
      <c r="E7" s="6" t="s">
        <v>220</v>
      </c>
      <c r="F7">
        <v>2008</v>
      </c>
      <c r="G7" t="s">
        <v>291</v>
      </c>
      <c r="H7" t="s">
        <v>55</v>
      </c>
      <c r="I7" s="2">
        <v>0.41</v>
      </c>
      <c r="J7" t="s">
        <v>203</v>
      </c>
      <c r="K7" s="9">
        <f t="shared" si="0"/>
        <v>0.41</v>
      </c>
      <c r="L7" s="13" t="s">
        <v>259</v>
      </c>
      <c r="M7" s="10" t="s">
        <v>266</v>
      </c>
      <c r="N7" t="s">
        <v>56</v>
      </c>
      <c r="O7" t="s">
        <v>233</v>
      </c>
    </row>
    <row r="8" spans="1:15" x14ac:dyDescent="0.2">
      <c r="A8" s="6">
        <v>7</v>
      </c>
      <c r="B8" t="s">
        <v>93</v>
      </c>
      <c r="C8" t="s">
        <v>37</v>
      </c>
      <c r="D8" t="s">
        <v>38</v>
      </c>
      <c r="E8" s="6" t="s">
        <v>221</v>
      </c>
      <c r="F8">
        <v>2011</v>
      </c>
      <c r="G8" t="s">
        <v>289</v>
      </c>
      <c r="H8" t="s">
        <v>1</v>
      </c>
      <c r="I8" s="2">
        <v>0.36699999999999999</v>
      </c>
      <c r="J8" t="s">
        <v>206</v>
      </c>
      <c r="K8" s="9">
        <f t="shared" si="0"/>
        <v>0.36699999999999999</v>
      </c>
      <c r="L8" s="13" t="s">
        <v>259</v>
      </c>
      <c r="M8" s="10"/>
      <c r="N8" s="10" t="s">
        <v>205</v>
      </c>
      <c r="O8" t="s">
        <v>233</v>
      </c>
    </row>
    <row r="9" spans="1:15" x14ac:dyDescent="0.2">
      <c r="A9" s="6">
        <v>8</v>
      </c>
      <c r="B9" t="s">
        <v>94</v>
      </c>
      <c r="C9" t="s">
        <v>37</v>
      </c>
      <c r="D9" t="s">
        <v>38</v>
      </c>
      <c r="E9" s="6" t="s">
        <v>221</v>
      </c>
      <c r="F9">
        <v>2011</v>
      </c>
      <c r="G9" t="s">
        <v>289</v>
      </c>
      <c r="H9" t="s">
        <v>1</v>
      </c>
      <c r="I9" s="2">
        <v>0.16200000000000001</v>
      </c>
      <c r="J9" t="s">
        <v>206</v>
      </c>
      <c r="K9" s="9">
        <f t="shared" si="0"/>
        <v>0.16200000000000001</v>
      </c>
      <c r="L9" s="13" t="s">
        <v>259</v>
      </c>
      <c r="M9" s="10"/>
      <c r="N9" s="10" t="s">
        <v>205</v>
      </c>
      <c r="O9" t="s">
        <v>233</v>
      </c>
    </row>
    <row r="10" spans="1:15" x14ac:dyDescent="0.2">
      <c r="A10" s="6">
        <v>9</v>
      </c>
      <c r="B10" t="s">
        <v>95</v>
      </c>
      <c r="C10" t="s">
        <v>37</v>
      </c>
      <c r="D10" t="s">
        <v>38</v>
      </c>
      <c r="E10" s="6" t="s">
        <v>221</v>
      </c>
      <c r="F10">
        <v>2011</v>
      </c>
      <c r="G10" t="s">
        <v>289</v>
      </c>
      <c r="H10" t="s">
        <v>1</v>
      </c>
      <c r="I10" s="2">
        <v>3</v>
      </c>
      <c r="J10" t="s">
        <v>206</v>
      </c>
      <c r="K10" s="9">
        <f t="shared" si="0"/>
        <v>3</v>
      </c>
      <c r="L10" s="13" t="s">
        <v>259</v>
      </c>
      <c r="M10" s="10"/>
      <c r="N10" s="10" t="s">
        <v>205</v>
      </c>
      <c r="O10" t="s">
        <v>233</v>
      </c>
    </row>
    <row r="11" spans="1:15" x14ac:dyDescent="0.2">
      <c r="A11" s="6">
        <v>10</v>
      </c>
      <c r="B11" t="s">
        <v>96</v>
      </c>
      <c r="D11" t="s">
        <v>17</v>
      </c>
      <c r="E11" s="6" t="s">
        <v>221</v>
      </c>
      <c r="F11">
        <v>2011</v>
      </c>
      <c r="G11" t="s">
        <v>291</v>
      </c>
      <c r="H11" t="s">
        <v>26</v>
      </c>
      <c r="I11" s="2">
        <v>0.47</v>
      </c>
      <c r="J11" t="s">
        <v>26</v>
      </c>
      <c r="K11" s="9">
        <f>I11*0.2*12.8%</f>
        <v>1.2032000000000001E-2</v>
      </c>
      <c r="L11" s="13" t="s">
        <v>281</v>
      </c>
      <c r="M11" s="10" t="s">
        <v>256</v>
      </c>
      <c r="N11" t="s">
        <v>201</v>
      </c>
      <c r="O11" t="s">
        <v>233</v>
      </c>
    </row>
    <row r="12" spans="1:15" x14ac:dyDescent="0.2">
      <c r="A12" s="6">
        <v>11</v>
      </c>
      <c r="B12" t="s">
        <v>97</v>
      </c>
      <c r="C12" t="s">
        <v>19</v>
      </c>
      <c r="D12" t="s">
        <v>184</v>
      </c>
      <c r="E12" s="6" t="s">
        <v>221</v>
      </c>
      <c r="F12">
        <v>2011</v>
      </c>
      <c r="G12" t="s">
        <v>289</v>
      </c>
      <c r="H12" t="s">
        <v>42</v>
      </c>
      <c r="I12" s="2">
        <v>0.4</v>
      </c>
      <c r="J12" t="s">
        <v>202</v>
      </c>
      <c r="K12" s="9">
        <f>I12</f>
        <v>0.4</v>
      </c>
      <c r="L12" s="13" t="s">
        <v>259</v>
      </c>
      <c r="M12" s="10" t="s">
        <v>267</v>
      </c>
      <c r="O12" t="s">
        <v>233</v>
      </c>
    </row>
    <row r="13" spans="1:15" x14ac:dyDescent="0.2">
      <c r="A13" s="6">
        <v>12</v>
      </c>
      <c r="B13" t="s">
        <v>98</v>
      </c>
      <c r="C13" s="1" t="s">
        <v>19</v>
      </c>
      <c r="D13" t="s">
        <v>184</v>
      </c>
      <c r="E13" s="6" t="s">
        <v>221</v>
      </c>
      <c r="F13">
        <v>2011</v>
      </c>
      <c r="G13" t="s">
        <v>291</v>
      </c>
      <c r="H13" t="s">
        <v>212</v>
      </c>
      <c r="I13" s="2">
        <v>0.1</v>
      </c>
      <c r="J13" t="s">
        <v>202</v>
      </c>
      <c r="K13" s="9">
        <f>I13*12.8%*0.2</f>
        <v>2.5600000000000002E-3</v>
      </c>
      <c r="L13" s="13" t="s">
        <v>282</v>
      </c>
      <c r="M13" s="10" t="s">
        <v>256</v>
      </c>
      <c r="O13" t="s">
        <v>233</v>
      </c>
    </row>
    <row r="14" spans="1:15" x14ac:dyDescent="0.2">
      <c r="A14" s="6">
        <v>13</v>
      </c>
      <c r="B14" t="s">
        <v>99</v>
      </c>
      <c r="C14" t="s">
        <v>19</v>
      </c>
      <c r="D14" t="s">
        <v>184</v>
      </c>
      <c r="E14" s="6" t="s">
        <v>221</v>
      </c>
      <c r="F14">
        <v>2011</v>
      </c>
      <c r="G14" t="s">
        <v>289</v>
      </c>
      <c r="H14" t="s">
        <v>244</v>
      </c>
      <c r="I14" s="2">
        <v>7.0000000000000007E-2</v>
      </c>
      <c r="J14" t="s">
        <v>242</v>
      </c>
      <c r="K14" s="9">
        <f>I14</f>
        <v>7.0000000000000007E-2</v>
      </c>
      <c r="L14" s="13" t="s">
        <v>259</v>
      </c>
      <c r="M14" s="12" t="s">
        <v>265</v>
      </c>
      <c r="N14" t="s">
        <v>200</v>
      </c>
      <c r="O14" t="s">
        <v>233</v>
      </c>
    </row>
    <row r="15" spans="1:15" x14ac:dyDescent="0.2">
      <c r="A15" s="6">
        <v>14</v>
      </c>
      <c r="B15" t="s">
        <v>100</v>
      </c>
      <c r="C15" t="s">
        <v>19</v>
      </c>
      <c r="D15" t="s">
        <v>184</v>
      </c>
      <c r="E15" s="6" t="s">
        <v>221</v>
      </c>
      <c r="F15">
        <v>2011</v>
      </c>
      <c r="G15" t="s">
        <v>291</v>
      </c>
      <c r="H15" t="s">
        <v>212</v>
      </c>
      <c r="I15" s="2">
        <v>4.3E-3</v>
      </c>
      <c r="J15" t="s">
        <v>202</v>
      </c>
      <c r="K15" s="9">
        <f>I15*12.8%*0.2</f>
        <v>1.1008000000000002E-4</v>
      </c>
      <c r="L15" s="13" t="s">
        <v>282</v>
      </c>
      <c r="M15" s="10" t="s">
        <v>256</v>
      </c>
      <c r="O15" t="s">
        <v>233</v>
      </c>
    </row>
    <row r="16" spans="1:15" x14ac:dyDescent="0.2">
      <c r="A16" s="6">
        <v>15</v>
      </c>
      <c r="B16" t="s">
        <v>101</v>
      </c>
      <c r="C16" t="s">
        <v>19</v>
      </c>
      <c r="D16" t="s">
        <v>184</v>
      </c>
      <c r="E16" s="6" t="s">
        <v>221</v>
      </c>
      <c r="F16">
        <v>2011</v>
      </c>
      <c r="G16" t="s">
        <v>291</v>
      </c>
      <c r="H16" t="s">
        <v>1</v>
      </c>
      <c r="I16" s="2">
        <v>6.34</v>
      </c>
      <c r="J16" t="s">
        <v>206</v>
      </c>
      <c r="K16" s="9">
        <f>I16</f>
        <v>6.34</v>
      </c>
      <c r="L16" s="13" t="s">
        <v>259</v>
      </c>
      <c r="M16" s="10"/>
      <c r="N16" s="10" t="s">
        <v>205</v>
      </c>
      <c r="O16" t="s">
        <v>233</v>
      </c>
    </row>
    <row r="17" spans="1:15" x14ac:dyDescent="0.2">
      <c r="A17" s="6">
        <v>16</v>
      </c>
      <c r="B17" t="s">
        <v>102</v>
      </c>
      <c r="C17" t="s">
        <v>39</v>
      </c>
      <c r="D17" t="s">
        <v>6</v>
      </c>
      <c r="E17" s="6" t="s">
        <v>225</v>
      </c>
      <c r="F17">
        <v>2012</v>
      </c>
      <c r="G17" t="s">
        <v>291</v>
      </c>
      <c r="H17" t="s">
        <v>1</v>
      </c>
      <c r="I17" s="2">
        <v>0.63</v>
      </c>
      <c r="J17" t="s">
        <v>206</v>
      </c>
      <c r="K17" s="9">
        <f>I17</f>
        <v>0.63</v>
      </c>
      <c r="L17" s="13" t="s">
        <v>259</v>
      </c>
      <c r="M17" s="10"/>
      <c r="N17" s="10" t="s">
        <v>205</v>
      </c>
      <c r="O17" t="s">
        <v>233</v>
      </c>
    </row>
    <row r="18" spans="1:15" x14ac:dyDescent="0.2">
      <c r="A18" s="6">
        <v>17</v>
      </c>
      <c r="B18" t="s">
        <v>103</v>
      </c>
      <c r="C18" t="s">
        <v>41</v>
      </c>
      <c r="D18" t="s">
        <v>8</v>
      </c>
      <c r="E18" s="6" t="s">
        <v>222</v>
      </c>
      <c r="F18">
        <v>2012</v>
      </c>
      <c r="G18" t="s">
        <v>289</v>
      </c>
      <c r="H18" t="s">
        <v>42</v>
      </c>
      <c r="I18" s="2">
        <v>0.1</v>
      </c>
      <c r="J18" t="s">
        <v>202</v>
      </c>
      <c r="K18" s="9">
        <f>I18</f>
        <v>0.1</v>
      </c>
      <c r="L18" s="13" t="s">
        <v>259</v>
      </c>
      <c r="M18" s="10" t="s">
        <v>267</v>
      </c>
      <c r="O18" t="s">
        <v>233</v>
      </c>
    </row>
    <row r="19" spans="1:15" x14ac:dyDescent="0.2">
      <c r="A19" s="6">
        <v>18</v>
      </c>
      <c r="B19" t="s">
        <v>104</v>
      </c>
      <c r="C19" s="1" t="s">
        <v>46</v>
      </c>
      <c r="D19" t="s">
        <v>14</v>
      </c>
      <c r="E19" s="6" t="s">
        <v>221</v>
      </c>
      <c r="F19">
        <v>2012</v>
      </c>
      <c r="G19" t="s">
        <v>289</v>
      </c>
      <c r="H19" t="s">
        <v>245</v>
      </c>
      <c r="I19" s="2">
        <v>0.67</v>
      </c>
      <c r="J19" t="s">
        <v>243</v>
      </c>
      <c r="K19" s="9">
        <f>I19</f>
        <v>0.67</v>
      </c>
      <c r="L19" s="13" t="s">
        <v>259</v>
      </c>
      <c r="M19" s="12" t="s">
        <v>270</v>
      </c>
      <c r="N19" t="s">
        <v>211</v>
      </c>
      <c r="O19" t="s">
        <v>233</v>
      </c>
    </row>
    <row r="20" spans="1:15" x14ac:dyDescent="0.2">
      <c r="A20" s="6">
        <v>19</v>
      </c>
      <c r="B20" t="s">
        <v>105</v>
      </c>
      <c r="C20" s="1" t="s">
        <v>71</v>
      </c>
      <c r="D20" t="s">
        <v>18</v>
      </c>
      <c r="E20" s="6" t="s">
        <v>222</v>
      </c>
      <c r="F20">
        <v>2012</v>
      </c>
      <c r="G20" t="s">
        <v>289</v>
      </c>
      <c r="H20" t="s">
        <v>29</v>
      </c>
      <c r="I20" s="2">
        <v>0.37</v>
      </c>
      <c r="J20" t="s">
        <v>208</v>
      </c>
      <c r="K20" s="9">
        <f>I20*1.6%</f>
        <v>5.9199999999999999E-3</v>
      </c>
      <c r="L20" s="14" t="s">
        <v>263</v>
      </c>
      <c r="M20" s="10" t="s">
        <v>255</v>
      </c>
      <c r="N20" t="s">
        <v>28</v>
      </c>
      <c r="O20" s="7" t="s">
        <v>260</v>
      </c>
    </row>
    <row r="21" spans="1:15" x14ac:dyDescent="0.2">
      <c r="A21" s="6">
        <v>20</v>
      </c>
      <c r="B21" t="s">
        <v>106</v>
      </c>
      <c r="C21" s="1" t="s">
        <v>71</v>
      </c>
      <c r="D21" t="s">
        <v>18</v>
      </c>
      <c r="E21" s="6" t="s">
        <v>222</v>
      </c>
      <c r="F21">
        <v>2012</v>
      </c>
      <c r="G21" t="s">
        <v>291</v>
      </c>
      <c r="H21" t="s">
        <v>26</v>
      </c>
      <c r="I21" s="2">
        <v>0.32</v>
      </c>
      <c r="J21" t="s">
        <v>26</v>
      </c>
      <c r="K21" s="9">
        <f>I21*0.2*12.8%</f>
        <v>8.1919999999999996E-3</v>
      </c>
      <c r="L21" s="13" t="s">
        <v>281</v>
      </c>
      <c r="M21" s="10" t="s">
        <v>256</v>
      </c>
      <c r="N21" t="s">
        <v>25</v>
      </c>
      <c r="O21" t="s">
        <v>233</v>
      </c>
    </row>
    <row r="22" spans="1:15" x14ac:dyDescent="0.2">
      <c r="A22" s="6">
        <v>21</v>
      </c>
      <c r="B22" t="s">
        <v>107</v>
      </c>
      <c r="C22" s="1" t="s">
        <v>71</v>
      </c>
      <c r="D22" t="s">
        <v>18</v>
      </c>
      <c r="E22" s="6" t="s">
        <v>222</v>
      </c>
      <c r="F22">
        <v>2012</v>
      </c>
      <c r="G22" t="s">
        <v>289</v>
      </c>
      <c r="H22" t="s">
        <v>245</v>
      </c>
      <c r="I22" s="2">
        <v>0.5</v>
      </c>
      <c r="J22" t="s">
        <v>243</v>
      </c>
      <c r="K22" s="9">
        <f>I22</f>
        <v>0.5</v>
      </c>
      <c r="L22" s="13" t="s">
        <v>259</v>
      </c>
      <c r="M22" s="12" t="s">
        <v>270</v>
      </c>
      <c r="N22" t="s">
        <v>211</v>
      </c>
      <c r="O22" t="s">
        <v>233</v>
      </c>
    </row>
    <row r="23" spans="1:15" x14ac:dyDescent="0.2">
      <c r="A23" s="6">
        <v>22</v>
      </c>
      <c r="B23" t="s">
        <v>108</v>
      </c>
      <c r="C23" s="1" t="s">
        <v>71</v>
      </c>
      <c r="D23" t="s">
        <v>18</v>
      </c>
      <c r="E23" s="6" t="s">
        <v>222</v>
      </c>
      <c r="F23">
        <v>2012</v>
      </c>
      <c r="G23" t="s">
        <v>291</v>
      </c>
      <c r="H23" t="s">
        <v>26</v>
      </c>
      <c r="I23" s="2">
        <v>0.05</v>
      </c>
      <c r="J23" t="s">
        <v>26</v>
      </c>
      <c r="K23" s="9">
        <f>I23*0.2*12.8%</f>
        <v>1.2800000000000003E-3</v>
      </c>
      <c r="L23" s="13" t="s">
        <v>281</v>
      </c>
      <c r="M23" s="10" t="s">
        <v>256</v>
      </c>
      <c r="N23" t="s">
        <v>25</v>
      </c>
      <c r="O23" t="s">
        <v>233</v>
      </c>
    </row>
    <row r="24" spans="1:15" x14ac:dyDescent="0.2">
      <c r="A24" s="6">
        <v>23</v>
      </c>
      <c r="B24" t="s">
        <v>109</v>
      </c>
      <c r="C24" s="1" t="s">
        <v>71</v>
      </c>
      <c r="D24" t="s">
        <v>18</v>
      </c>
      <c r="E24" s="6" t="s">
        <v>222</v>
      </c>
      <c r="F24">
        <v>2012</v>
      </c>
      <c r="G24" t="s">
        <v>291</v>
      </c>
      <c r="H24" t="s">
        <v>55</v>
      </c>
      <c r="I24" s="2">
        <v>0.37</v>
      </c>
      <c r="J24" t="s">
        <v>203</v>
      </c>
      <c r="K24" s="9">
        <f>I24</f>
        <v>0.37</v>
      </c>
      <c r="L24" s="13" t="s">
        <v>259</v>
      </c>
      <c r="M24" s="10" t="s">
        <v>266</v>
      </c>
      <c r="N24" t="s">
        <v>56</v>
      </c>
      <c r="O24" t="s">
        <v>233</v>
      </c>
    </row>
    <row r="25" spans="1:15" x14ac:dyDescent="0.2">
      <c r="A25" s="6">
        <v>24</v>
      </c>
      <c r="B25" t="s">
        <v>110</v>
      </c>
      <c r="C25" s="1" t="s">
        <v>71</v>
      </c>
      <c r="D25" t="s">
        <v>18</v>
      </c>
      <c r="E25" s="6" t="s">
        <v>222</v>
      </c>
      <c r="F25">
        <v>2012</v>
      </c>
      <c r="G25" t="s">
        <v>291</v>
      </c>
      <c r="H25" t="s">
        <v>248</v>
      </c>
      <c r="I25" s="2">
        <v>0.2</v>
      </c>
      <c r="J25" t="s">
        <v>203</v>
      </c>
      <c r="K25" s="9">
        <f>I25</f>
        <v>0.2</v>
      </c>
      <c r="L25" s="13" t="s">
        <v>259</v>
      </c>
      <c r="M25" s="10" t="s">
        <v>266</v>
      </c>
      <c r="N25" t="s">
        <v>33</v>
      </c>
      <c r="O25" t="s">
        <v>233</v>
      </c>
    </row>
    <row r="26" spans="1:15" x14ac:dyDescent="0.2">
      <c r="A26" s="6">
        <v>25</v>
      </c>
      <c r="B26" t="s">
        <v>111</v>
      </c>
      <c r="C26" t="s">
        <v>20</v>
      </c>
      <c r="D26" t="s">
        <v>3</v>
      </c>
      <c r="E26" s="6" t="s">
        <v>221</v>
      </c>
      <c r="F26">
        <v>2013</v>
      </c>
      <c r="G26" t="s">
        <v>291</v>
      </c>
      <c r="H26" t="s">
        <v>26</v>
      </c>
      <c r="I26" s="2">
        <v>0.4</v>
      </c>
      <c r="J26" t="s">
        <v>26</v>
      </c>
      <c r="K26" s="9">
        <f>I26*0.2*12.8%</f>
        <v>1.0240000000000003E-2</v>
      </c>
      <c r="L26" s="13" t="s">
        <v>281</v>
      </c>
      <c r="M26" s="10" t="s">
        <v>256</v>
      </c>
      <c r="N26" t="s">
        <v>25</v>
      </c>
      <c r="O26" t="s">
        <v>233</v>
      </c>
    </row>
    <row r="27" spans="1:15" x14ac:dyDescent="0.2">
      <c r="A27" s="6">
        <v>26</v>
      </c>
      <c r="B27" t="s">
        <v>112</v>
      </c>
      <c r="C27" t="s">
        <v>20</v>
      </c>
      <c r="D27" t="s">
        <v>3</v>
      </c>
      <c r="E27" s="6" t="s">
        <v>221</v>
      </c>
      <c r="F27">
        <v>2013</v>
      </c>
      <c r="G27" t="s">
        <v>291</v>
      </c>
      <c r="H27" t="s">
        <v>26</v>
      </c>
      <c r="I27" s="2">
        <v>0.48</v>
      </c>
      <c r="J27" t="s">
        <v>26</v>
      </c>
      <c r="K27" s="9">
        <f>I27*0.2*12.8%</f>
        <v>1.2288E-2</v>
      </c>
      <c r="L27" s="13" t="s">
        <v>281</v>
      </c>
      <c r="M27" s="10" t="s">
        <v>256</v>
      </c>
      <c r="N27" t="s">
        <v>25</v>
      </c>
      <c r="O27" t="s">
        <v>233</v>
      </c>
    </row>
    <row r="28" spans="1:15" x14ac:dyDescent="0.2">
      <c r="A28" s="6">
        <v>27</v>
      </c>
      <c r="B28" t="s">
        <v>113</v>
      </c>
      <c r="C28" t="s">
        <v>20</v>
      </c>
      <c r="D28" t="s">
        <v>3</v>
      </c>
      <c r="E28" s="6" t="s">
        <v>221</v>
      </c>
      <c r="F28">
        <v>2013</v>
      </c>
      <c r="G28" t="s">
        <v>291</v>
      </c>
      <c r="H28" t="s">
        <v>26</v>
      </c>
      <c r="I28" s="2">
        <v>0.37</v>
      </c>
      <c r="J28" t="s">
        <v>26</v>
      </c>
      <c r="K28" s="9">
        <f>I28*0.2*12.8%</f>
        <v>9.4719999999999995E-3</v>
      </c>
      <c r="L28" s="13" t="s">
        <v>281</v>
      </c>
      <c r="M28" s="10" t="s">
        <v>256</v>
      </c>
      <c r="N28" t="s">
        <v>25</v>
      </c>
      <c r="O28" t="s">
        <v>233</v>
      </c>
    </row>
    <row r="29" spans="1:15" x14ac:dyDescent="0.2">
      <c r="A29" s="6">
        <v>28</v>
      </c>
      <c r="B29" t="s">
        <v>114</v>
      </c>
      <c r="C29" t="s">
        <v>20</v>
      </c>
      <c r="D29" t="s">
        <v>3</v>
      </c>
      <c r="E29" s="6" t="s">
        <v>221</v>
      </c>
      <c r="F29">
        <v>2013</v>
      </c>
      <c r="G29" t="s">
        <v>289</v>
      </c>
      <c r="H29" t="s">
        <v>29</v>
      </c>
      <c r="I29" s="2">
        <v>0.34</v>
      </c>
      <c r="J29" t="s">
        <v>208</v>
      </c>
      <c r="K29" s="9">
        <f>I29*1.6%</f>
        <v>5.4400000000000004E-3</v>
      </c>
      <c r="L29" s="14" t="s">
        <v>263</v>
      </c>
      <c r="M29" s="10" t="s">
        <v>255</v>
      </c>
      <c r="N29" t="s">
        <v>28</v>
      </c>
      <c r="O29" s="7" t="s">
        <v>260</v>
      </c>
    </row>
    <row r="30" spans="1:15" x14ac:dyDescent="0.2">
      <c r="A30" s="6">
        <v>29</v>
      </c>
      <c r="B30" t="s">
        <v>115</v>
      </c>
      <c r="C30" t="s">
        <v>20</v>
      </c>
      <c r="D30" t="s">
        <v>3</v>
      </c>
      <c r="E30" s="6" t="s">
        <v>221</v>
      </c>
      <c r="F30">
        <v>2013</v>
      </c>
      <c r="G30" t="s">
        <v>289</v>
      </c>
      <c r="H30" t="s">
        <v>29</v>
      </c>
      <c r="I30" s="2">
        <v>0.68</v>
      </c>
      <c r="J30" t="s">
        <v>208</v>
      </c>
      <c r="K30" s="9">
        <f>I30*1.6%</f>
        <v>1.0880000000000001E-2</v>
      </c>
      <c r="L30" s="14" t="s">
        <v>263</v>
      </c>
      <c r="M30" s="10" t="s">
        <v>255</v>
      </c>
      <c r="N30" t="s">
        <v>28</v>
      </c>
      <c r="O30" s="7" t="s">
        <v>260</v>
      </c>
    </row>
    <row r="31" spans="1:15" x14ac:dyDescent="0.2">
      <c r="A31" s="6">
        <v>30</v>
      </c>
      <c r="B31" t="s">
        <v>116</v>
      </c>
      <c r="C31" t="s">
        <v>20</v>
      </c>
      <c r="D31" t="s">
        <v>3</v>
      </c>
      <c r="E31" s="6" t="s">
        <v>221</v>
      </c>
      <c r="F31">
        <v>2013</v>
      </c>
      <c r="G31" t="s">
        <v>289</v>
      </c>
      <c r="H31" t="s">
        <v>29</v>
      </c>
      <c r="I31" s="2">
        <v>0.43</v>
      </c>
      <c r="J31" t="s">
        <v>208</v>
      </c>
      <c r="K31" s="9">
        <f>I31*1.6%</f>
        <v>6.8799999999999998E-3</v>
      </c>
      <c r="L31" s="14" t="s">
        <v>263</v>
      </c>
      <c r="M31" s="10" t="s">
        <v>255</v>
      </c>
      <c r="N31" t="s">
        <v>28</v>
      </c>
      <c r="O31" s="7" t="s">
        <v>260</v>
      </c>
    </row>
    <row r="32" spans="1:15" x14ac:dyDescent="0.2">
      <c r="A32" s="6">
        <v>31</v>
      </c>
      <c r="B32" t="s">
        <v>117</v>
      </c>
      <c r="C32" t="s">
        <v>20</v>
      </c>
      <c r="D32" t="s">
        <v>3</v>
      </c>
      <c r="E32" s="6" t="s">
        <v>221</v>
      </c>
      <c r="F32">
        <v>2013</v>
      </c>
      <c r="G32" t="s">
        <v>289</v>
      </c>
      <c r="H32" t="s">
        <v>1</v>
      </c>
      <c r="I32" s="2">
        <v>0.16</v>
      </c>
      <c r="J32" t="s">
        <v>206</v>
      </c>
      <c r="K32" s="9">
        <f>I32</f>
        <v>0.16</v>
      </c>
      <c r="L32" s="13" t="s">
        <v>259</v>
      </c>
      <c r="M32" s="10"/>
      <c r="N32" s="10" t="s">
        <v>205</v>
      </c>
      <c r="O32" t="s">
        <v>233</v>
      </c>
    </row>
    <row r="33" spans="1:15" x14ac:dyDescent="0.2">
      <c r="A33" s="6">
        <v>32</v>
      </c>
      <c r="B33" t="s">
        <v>118</v>
      </c>
      <c r="C33" s="1" t="s">
        <v>45</v>
      </c>
      <c r="D33" t="s">
        <v>16</v>
      </c>
      <c r="E33" s="6" t="s">
        <v>223</v>
      </c>
      <c r="F33">
        <v>2013</v>
      </c>
      <c r="G33" t="s">
        <v>289</v>
      </c>
      <c r="H33" t="s">
        <v>245</v>
      </c>
      <c r="I33" s="2">
        <v>7.0000000000000007E-2</v>
      </c>
      <c r="J33" t="s">
        <v>243</v>
      </c>
      <c r="K33" s="9">
        <f>I33</f>
        <v>7.0000000000000007E-2</v>
      </c>
      <c r="L33" s="13" t="s">
        <v>259</v>
      </c>
      <c r="M33" s="12" t="s">
        <v>270</v>
      </c>
      <c r="N33" t="s">
        <v>211</v>
      </c>
      <c r="O33" t="s">
        <v>233</v>
      </c>
    </row>
    <row r="34" spans="1:15" x14ac:dyDescent="0.2">
      <c r="A34" s="6">
        <v>33</v>
      </c>
      <c r="B34" t="s">
        <v>119</v>
      </c>
      <c r="C34" t="s">
        <v>23</v>
      </c>
      <c r="D34" t="s">
        <v>27</v>
      </c>
      <c r="E34" s="6" t="s">
        <v>221</v>
      </c>
      <c r="F34">
        <v>2014</v>
      </c>
      <c r="G34" t="s">
        <v>291</v>
      </c>
      <c r="H34" t="s">
        <v>26</v>
      </c>
      <c r="I34" s="2">
        <v>0.8</v>
      </c>
      <c r="J34" t="s">
        <v>26</v>
      </c>
      <c r="K34" s="9">
        <f>I34*0.2*12.8%</f>
        <v>2.0480000000000005E-2</v>
      </c>
      <c r="L34" s="13" t="s">
        <v>281</v>
      </c>
      <c r="M34" s="10" t="s">
        <v>256</v>
      </c>
      <c r="N34" t="s">
        <v>25</v>
      </c>
      <c r="O34" t="s">
        <v>233</v>
      </c>
    </row>
    <row r="35" spans="1:15" x14ac:dyDescent="0.2">
      <c r="A35" s="6">
        <v>34</v>
      </c>
      <c r="B35" t="s">
        <v>120</v>
      </c>
      <c r="C35" t="s">
        <v>44</v>
      </c>
      <c r="D35" t="s">
        <v>9</v>
      </c>
      <c r="E35" s="6" t="s">
        <v>221</v>
      </c>
      <c r="F35">
        <v>2015</v>
      </c>
      <c r="G35" t="s">
        <v>291</v>
      </c>
      <c r="H35" t="s">
        <v>1</v>
      </c>
      <c r="I35" s="2">
        <v>1.704E-2</v>
      </c>
      <c r="J35" t="s">
        <v>207</v>
      </c>
      <c r="K35" s="9">
        <f t="shared" ref="K35:K40" si="1">I35</f>
        <v>1.704E-2</v>
      </c>
      <c r="L35" s="13" t="s">
        <v>259</v>
      </c>
      <c r="M35" s="10"/>
      <c r="N35" s="10" t="s">
        <v>271</v>
      </c>
      <c r="O35" t="s">
        <v>233</v>
      </c>
    </row>
    <row r="36" spans="1:15" x14ac:dyDescent="0.2">
      <c r="A36" s="6">
        <v>35</v>
      </c>
      <c r="B36" t="s">
        <v>121</v>
      </c>
      <c r="C36" t="s">
        <v>44</v>
      </c>
      <c r="D36" t="s">
        <v>9</v>
      </c>
      <c r="E36" s="6" t="s">
        <v>221</v>
      </c>
      <c r="F36">
        <v>2015</v>
      </c>
      <c r="G36" t="s">
        <v>291</v>
      </c>
      <c r="H36" t="s">
        <v>1</v>
      </c>
      <c r="I36" s="2">
        <v>1.6E-2</v>
      </c>
      <c r="J36" t="s">
        <v>207</v>
      </c>
      <c r="K36" s="9">
        <f t="shared" si="1"/>
        <v>1.6E-2</v>
      </c>
      <c r="L36" s="13" t="s">
        <v>259</v>
      </c>
      <c r="M36" s="10"/>
      <c r="N36" s="10" t="s">
        <v>271</v>
      </c>
      <c r="O36" t="s">
        <v>233</v>
      </c>
    </row>
    <row r="37" spans="1:15" x14ac:dyDescent="0.2">
      <c r="A37" s="6">
        <v>36</v>
      </c>
      <c r="B37" t="s">
        <v>122</v>
      </c>
      <c r="C37" t="s">
        <v>44</v>
      </c>
      <c r="D37" t="s">
        <v>9</v>
      </c>
      <c r="E37" s="6" t="s">
        <v>221</v>
      </c>
      <c r="F37">
        <v>2015</v>
      </c>
      <c r="G37" t="s">
        <v>291</v>
      </c>
      <c r="H37" t="s">
        <v>1</v>
      </c>
      <c r="I37" s="2">
        <v>1.736E-2</v>
      </c>
      <c r="J37" t="s">
        <v>207</v>
      </c>
      <c r="K37" s="9">
        <f t="shared" si="1"/>
        <v>1.736E-2</v>
      </c>
      <c r="L37" s="13" t="s">
        <v>259</v>
      </c>
      <c r="M37" s="10"/>
      <c r="N37" s="10" t="s">
        <v>271</v>
      </c>
      <c r="O37" t="s">
        <v>233</v>
      </c>
    </row>
    <row r="38" spans="1:15" x14ac:dyDescent="0.2">
      <c r="A38" s="6">
        <v>37</v>
      </c>
      <c r="B38" t="s">
        <v>123</v>
      </c>
      <c r="C38" t="s">
        <v>44</v>
      </c>
      <c r="D38" t="s">
        <v>9</v>
      </c>
      <c r="E38" s="6" t="s">
        <v>221</v>
      </c>
      <c r="F38">
        <v>2015</v>
      </c>
      <c r="G38" t="s">
        <v>291</v>
      </c>
      <c r="H38" t="s">
        <v>1</v>
      </c>
      <c r="I38" s="2">
        <v>7.2000000000000015E-3</v>
      </c>
      <c r="J38" t="s">
        <v>207</v>
      </c>
      <c r="K38" s="9">
        <f t="shared" si="1"/>
        <v>7.2000000000000015E-3</v>
      </c>
      <c r="L38" s="13" t="s">
        <v>259</v>
      </c>
      <c r="M38" s="10"/>
      <c r="N38" s="10" t="s">
        <v>271</v>
      </c>
      <c r="O38" t="s">
        <v>233</v>
      </c>
    </row>
    <row r="39" spans="1:15" x14ac:dyDescent="0.2">
      <c r="A39" s="6">
        <v>38</v>
      </c>
      <c r="B39" t="s">
        <v>124</v>
      </c>
      <c r="C39" t="s">
        <v>44</v>
      </c>
      <c r="D39" t="s">
        <v>9</v>
      </c>
      <c r="E39" s="6" t="s">
        <v>221</v>
      </c>
      <c r="F39">
        <v>2015</v>
      </c>
      <c r="G39" t="s">
        <v>291</v>
      </c>
      <c r="H39" t="s">
        <v>1</v>
      </c>
      <c r="I39" s="2">
        <v>3.8800000000000001E-2</v>
      </c>
      <c r="J39" t="s">
        <v>207</v>
      </c>
      <c r="K39" s="9">
        <f t="shared" si="1"/>
        <v>3.8800000000000001E-2</v>
      </c>
      <c r="L39" s="13" t="s">
        <v>259</v>
      </c>
      <c r="M39" s="10"/>
      <c r="N39" s="10" t="s">
        <v>271</v>
      </c>
      <c r="O39" t="s">
        <v>233</v>
      </c>
    </row>
    <row r="40" spans="1:15" x14ac:dyDescent="0.2">
      <c r="A40" s="6">
        <v>39</v>
      </c>
      <c r="B40" t="s">
        <v>125</v>
      </c>
      <c r="C40" t="s">
        <v>44</v>
      </c>
      <c r="D40" t="s">
        <v>9</v>
      </c>
      <c r="E40" s="6" t="s">
        <v>221</v>
      </c>
      <c r="F40">
        <v>2015</v>
      </c>
      <c r="G40" t="s">
        <v>291</v>
      </c>
      <c r="H40" t="s">
        <v>1</v>
      </c>
      <c r="I40" s="2">
        <v>4.2000000000000003E-2</v>
      </c>
      <c r="J40" t="s">
        <v>207</v>
      </c>
      <c r="K40" s="9">
        <f t="shared" si="1"/>
        <v>4.2000000000000003E-2</v>
      </c>
      <c r="L40" s="13" t="s">
        <v>259</v>
      </c>
      <c r="M40" s="10"/>
      <c r="N40" s="10" t="s">
        <v>271</v>
      </c>
      <c r="O40" t="s">
        <v>233</v>
      </c>
    </row>
    <row r="41" spans="1:15" x14ac:dyDescent="0.2">
      <c r="A41" s="6">
        <v>40</v>
      </c>
      <c r="B41" t="s">
        <v>126</v>
      </c>
      <c r="C41" t="s">
        <v>191</v>
      </c>
      <c r="D41" t="s">
        <v>64</v>
      </c>
      <c r="E41" s="6" t="s">
        <v>225</v>
      </c>
      <c r="F41">
        <v>2015</v>
      </c>
      <c r="G41" t="s">
        <v>292</v>
      </c>
      <c r="H41" t="s">
        <v>234</v>
      </c>
      <c r="I41" s="2">
        <v>0.25</v>
      </c>
      <c r="J41" t="s">
        <v>254</v>
      </c>
      <c r="K41" s="9">
        <f>20%*I41</f>
        <v>0.05</v>
      </c>
      <c r="L41" s="13" t="s">
        <v>275</v>
      </c>
      <c r="M41" s="10" t="s">
        <v>253</v>
      </c>
      <c r="N41" s="1"/>
      <c r="O41" s="1" t="s">
        <v>276</v>
      </c>
    </row>
    <row r="42" spans="1:15" x14ac:dyDescent="0.2">
      <c r="A42" s="6">
        <v>41</v>
      </c>
      <c r="B42" t="s">
        <v>127</v>
      </c>
      <c r="C42" s="1" t="s">
        <v>48</v>
      </c>
      <c r="D42" t="s">
        <v>10</v>
      </c>
      <c r="E42" s="6" t="s">
        <v>225</v>
      </c>
      <c r="F42">
        <v>2018</v>
      </c>
      <c r="G42" t="s">
        <v>291</v>
      </c>
      <c r="H42" t="s">
        <v>1</v>
      </c>
      <c r="I42" s="2">
        <v>0.94409999999999994</v>
      </c>
      <c r="J42" t="s">
        <v>206</v>
      </c>
      <c r="K42" s="9">
        <f>I42</f>
        <v>0.94409999999999994</v>
      </c>
      <c r="L42" s="13" t="s">
        <v>259</v>
      </c>
      <c r="M42" s="10"/>
      <c r="N42" s="10" t="s">
        <v>205</v>
      </c>
      <c r="O42" t="s">
        <v>233</v>
      </c>
    </row>
    <row r="43" spans="1:15" x14ac:dyDescent="0.2">
      <c r="A43" s="6">
        <v>42</v>
      </c>
      <c r="B43" t="s">
        <v>128</v>
      </c>
      <c r="C43" t="s">
        <v>65</v>
      </c>
      <c r="D43" t="s">
        <v>66</v>
      </c>
      <c r="E43" s="6" t="s">
        <v>224</v>
      </c>
      <c r="F43">
        <v>2018</v>
      </c>
      <c r="G43" t="s">
        <v>292</v>
      </c>
      <c r="H43" t="s">
        <v>234</v>
      </c>
      <c r="I43" s="2">
        <v>0.7</v>
      </c>
      <c r="J43" t="s">
        <v>254</v>
      </c>
      <c r="K43" s="9">
        <f>20%*I43</f>
        <v>0.13999999999999999</v>
      </c>
      <c r="L43" s="13" t="s">
        <v>275</v>
      </c>
      <c r="M43" s="10" t="s">
        <v>253</v>
      </c>
      <c r="O43" t="s">
        <v>277</v>
      </c>
    </row>
    <row r="44" spans="1:15" x14ac:dyDescent="0.2">
      <c r="A44" s="6">
        <v>43</v>
      </c>
      <c r="B44" t="s">
        <v>129</v>
      </c>
      <c r="C44" t="s">
        <v>65</v>
      </c>
      <c r="D44" t="s">
        <v>66</v>
      </c>
      <c r="E44" s="6" t="s">
        <v>224</v>
      </c>
      <c r="F44">
        <v>2018</v>
      </c>
      <c r="G44" t="s">
        <v>289</v>
      </c>
      <c r="H44" t="s">
        <v>198</v>
      </c>
      <c r="I44" s="2">
        <v>0.2</v>
      </c>
      <c r="J44" t="s">
        <v>198</v>
      </c>
      <c r="K44" s="9">
        <f>I44*12.8%*0.2</f>
        <v>5.1200000000000004E-3</v>
      </c>
      <c r="L44" s="13" t="s">
        <v>282</v>
      </c>
      <c r="M44" s="10" t="s">
        <v>255</v>
      </c>
      <c r="O44" t="s">
        <v>233</v>
      </c>
    </row>
    <row r="45" spans="1:15" x14ac:dyDescent="0.2">
      <c r="A45" s="6">
        <v>44</v>
      </c>
      <c r="B45" t="s">
        <v>130</v>
      </c>
      <c r="C45" t="s">
        <v>65</v>
      </c>
      <c r="D45" t="s">
        <v>66</v>
      </c>
      <c r="E45" s="6" t="s">
        <v>224</v>
      </c>
      <c r="F45">
        <v>2018</v>
      </c>
      <c r="G45" t="s">
        <v>289</v>
      </c>
      <c r="H45" t="s">
        <v>212</v>
      </c>
      <c r="I45" s="2">
        <v>2.5000000000000001E-3</v>
      </c>
      <c r="J45" t="s">
        <v>202</v>
      </c>
      <c r="K45" s="9">
        <f>I45*12.8%*0.2</f>
        <v>6.4000000000000011E-5</v>
      </c>
      <c r="L45" s="13" t="s">
        <v>282</v>
      </c>
      <c r="M45" s="10" t="s">
        <v>267</v>
      </c>
      <c r="O45" t="s">
        <v>233</v>
      </c>
    </row>
    <row r="46" spans="1:15" x14ac:dyDescent="0.2">
      <c r="A46" s="6">
        <v>45</v>
      </c>
      <c r="B46" t="s">
        <v>131</v>
      </c>
      <c r="C46" t="s">
        <v>69</v>
      </c>
      <c r="D46" t="s">
        <v>66</v>
      </c>
      <c r="E46" s="6" t="s">
        <v>224</v>
      </c>
      <c r="F46">
        <v>2018</v>
      </c>
      <c r="G46" t="s">
        <v>292</v>
      </c>
      <c r="H46" t="s">
        <v>67</v>
      </c>
      <c r="I46" s="2">
        <v>4.3999999999999997E-2</v>
      </c>
      <c r="J46" t="s">
        <v>252</v>
      </c>
      <c r="K46" s="9">
        <f>I46</f>
        <v>4.3999999999999997E-2</v>
      </c>
      <c r="L46" s="13" t="s">
        <v>259</v>
      </c>
      <c r="M46" s="10" t="s">
        <v>251</v>
      </c>
      <c r="N46" t="s">
        <v>68</v>
      </c>
      <c r="O46" t="s">
        <v>233</v>
      </c>
    </row>
    <row r="47" spans="1:15" x14ac:dyDescent="0.2">
      <c r="A47" s="6">
        <v>46</v>
      </c>
      <c r="B47" t="s">
        <v>132</v>
      </c>
      <c r="C47" t="s">
        <v>69</v>
      </c>
      <c r="D47" t="s">
        <v>66</v>
      </c>
      <c r="E47" s="6" t="s">
        <v>224</v>
      </c>
      <c r="F47">
        <v>2018</v>
      </c>
      <c r="G47" t="s">
        <v>292</v>
      </c>
      <c r="H47" t="s">
        <v>67</v>
      </c>
      <c r="I47" s="2">
        <v>6.5000000000000002E-2</v>
      </c>
      <c r="J47" t="s">
        <v>252</v>
      </c>
      <c r="K47" s="9">
        <f>I47</f>
        <v>6.5000000000000002E-2</v>
      </c>
      <c r="L47" s="13" t="s">
        <v>259</v>
      </c>
      <c r="M47" s="10" t="s">
        <v>251</v>
      </c>
      <c r="N47" t="s">
        <v>68</v>
      </c>
      <c r="O47" t="s">
        <v>233</v>
      </c>
    </row>
    <row r="48" spans="1:15" x14ac:dyDescent="0.2">
      <c r="A48" s="6">
        <v>47</v>
      </c>
      <c r="B48" t="s">
        <v>133</v>
      </c>
      <c r="C48" t="s">
        <v>69</v>
      </c>
      <c r="D48" t="s">
        <v>66</v>
      </c>
      <c r="E48" s="6" t="s">
        <v>224</v>
      </c>
      <c r="F48">
        <v>2018</v>
      </c>
      <c r="G48" t="s">
        <v>291</v>
      </c>
      <c r="H48" t="s">
        <v>250</v>
      </c>
      <c r="I48" s="2">
        <v>3.7699999999999997E-2</v>
      </c>
      <c r="J48" t="s">
        <v>210</v>
      </c>
      <c r="K48" s="9">
        <v>0.04</v>
      </c>
      <c r="L48" s="13" t="s">
        <v>259</v>
      </c>
      <c r="M48" s="10" t="s">
        <v>256</v>
      </c>
      <c r="O48" t="s">
        <v>233</v>
      </c>
    </row>
    <row r="49" spans="1:15" x14ac:dyDescent="0.2">
      <c r="A49" s="6">
        <v>48</v>
      </c>
      <c r="B49" t="s">
        <v>134</v>
      </c>
      <c r="C49" t="s">
        <v>69</v>
      </c>
      <c r="D49" t="s">
        <v>66</v>
      </c>
      <c r="E49" s="6" t="s">
        <v>224</v>
      </c>
      <c r="F49">
        <v>2018</v>
      </c>
      <c r="G49" t="s">
        <v>289</v>
      </c>
      <c r="H49" t="s">
        <v>70</v>
      </c>
      <c r="I49" s="2">
        <v>8.3999999999999995E-3</v>
      </c>
      <c r="J49" t="s">
        <v>209</v>
      </c>
      <c r="K49" s="9">
        <f>I49</f>
        <v>8.3999999999999995E-3</v>
      </c>
      <c r="L49" s="13" t="s">
        <v>259</v>
      </c>
      <c r="M49" s="10" t="s">
        <v>255</v>
      </c>
      <c r="O49" t="s">
        <v>233</v>
      </c>
    </row>
    <row r="50" spans="1:15" x14ac:dyDescent="0.2">
      <c r="A50" s="6">
        <v>49</v>
      </c>
      <c r="B50" t="s">
        <v>135</v>
      </c>
      <c r="C50" t="s">
        <v>69</v>
      </c>
      <c r="D50" t="s">
        <v>66</v>
      </c>
      <c r="E50" s="6" t="s">
        <v>224</v>
      </c>
      <c r="F50">
        <v>2018</v>
      </c>
      <c r="G50" t="s">
        <v>291</v>
      </c>
      <c r="H50" t="s">
        <v>250</v>
      </c>
      <c r="I50" s="2">
        <v>5.2900000000000003E-2</v>
      </c>
      <c r="J50" t="s">
        <v>210</v>
      </c>
      <c r="K50" s="9">
        <v>0.05</v>
      </c>
      <c r="L50" s="13" t="s">
        <v>259</v>
      </c>
      <c r="M50" s="10" t="s">
        <v>256</v>
      </c>
      <c r="O50" t="s">
        <v>233</v>
      </c>
    </row>
    <row r="51" spans="1:15" x14ac:dyDescent="0.2">
      <c r="A51" s="6">
        <v>50</v>
      </c>
      <c r="B51" t="s">
        <v>136</v>
      </c>
      <c r="C51" t="s">
        <v>69</v>
      </c>
      <c r="D51" t="s">
        <v>66</v>
      </c>
      <c r="E51" s="6" t="s">
        <v>224</v>
      </c>
      <c r="F51">
        <v>2018</v>
      </c>
      <c r="G51" t="s">
        <v>289</v>
      </c>
      <c r="H51" t="s">
        <v>70</v>
      </c>
      <c r="I51" s="2">
        <v>2.9999999999999997E-4</v>
      </c>
      <c r="J51" t="s">
        <v>209</v>
      </c>
      <c r="K51" s="9">
        <f>I51</f>
        <v>2.9999999999999997E-4</v>
      </c>
      <c r="L51" s="13" t="s">
        <v>259</v>
      </c>
      <c r="M51" s="10" t="s">
        <v>255</v>
      </c>
      <c r="O51" t="s">
        <v>233</v>
      </c>
    </row>
    <row r="52" spans="1:15" x14ac:dyDescent="0.2">
      <c r="A52" s="6">
        <v>51</v>
      </c>
      <c r="B52" t="s">
        <v>137</v>
      </c>
      <c r="C52" t="s">
        <v>69</v>
      </c>
      <c r="D52" t="s">
        <v>66</v>
      </c>
      <c r="E52" s="6" t="s">
        <v>224</v>
      </c>
      <c r="F52">
        <v>2018</v>
      </c>
      <c r="G52" t="s">
        <v>289</v>
      </c>
      <c r="H52" t="s">
        <v>237</v>
      </c>
      <c r="I52" s="2">
        <v>5.0000000000000001E-4</v>
      </c>
      <c r="J52" t="s">
        <v>202</v>
      </c>
      <c r="K52" s="9">
        <f>I52*12.8%*0.8</f>
        <v>5.1199999999999998E-5</v>
      </c>
      <c r="L52" s="13" t="s">
        <v>280</v>
      </c>
      <c r="M52" s="10" t="s">
        <v>267</v>
      </c>
      <c r="O52" t="s">
        <v>233</v>
      </c>
    </row>
    <row r="53" spans="1:15" x14ac:dyDescent="0.2">
      <c r="A53" s="6">
        <v>52</v>
      </c>
      <c r="B53" t="s">
        <v>138</v>
      </c>
      <c r="C53" t="s">
        <v>59</v>
      </c>
      <c r="D53" t="s">
        <v>60</v>
      </c>
      <c r="E53" s="6" t="s">
        <v>225</v>
      </c>
      <c r="F53">
        <v>2019</v>
      </c>
      <c r="G53" t="s">
        <v>289</v>
      </c>
      <c r="H53" t="s">
        <v>61</v>
      </c>
      <c r="I53" s="2">
        <v>0.63</v>
      </c>
      <c r="J53" t="s">
        <v>204</v>
      </c>
      <c r="K53" s="9">
        <f>I53*12.8%*0.8</f>
        <v>6.4512E-2</v>
      </c>
      <c r="L53" s="13" t="s">
        <v>264</v>
      </c>
      <c r="M53" s="10" t="s">
        <v>255</v>
      </c>
      <c r="N53" t="s">
        <v>262</v>
      </c>
      <c r="O53" s="7" t="s">
        <v>261</v>
      </c>
    </row>
    <row r="54" spans="1:15" x14ac:dyDescent="0.2">
      <c r="A54" s="6">
        <v>53</v>
      </c>
      <c r="B54" t="s">
        <v>139</v>
      </c>
      <c r="C54" t="s">
        <v>59</v>
      </c>
      <c r="D54" t="s">
        <v>60</v>
      </c>
      <c r="E54" s="6" t="s">
        <v>225</v>
      </c>
      <c r="F54">
        <v>2019</v>
      </c>
      <c r="G54" t="s">
        <v>289</v>
      </c>
      <c r="H54" t="s">
        <v>1</v>
      </c>
      <c r="I54" s="2">
        <v>4.76</v>
      </c>
      <c r="J54" t="s">
        <v>206</v>
      </c>
      <c r="K54" s="9">
        <f>I54</f>
        <v>4.76</v>
      </c>
      <c r="L54" s="13" t="s">
        <v>259</v>
      </c>
      <c r="M54" s="10"/>
      <c r="N54" s="10" t="s">
        <v>205</v>
      </c>
      <c r="O54" t="s">
        <v>233</v>
      </c>
    </row>
    <row r="55" spans="1:15" x14ac:dyDescent="0.2">
      <c r="A55" s="6">
        <v>54</v>
      </c>
      <c r="B55" t="s">
        <v>140</v>
      </c>
      <c r="C55" t="s">
        <v>32</v>
      </c>
      <c r="D55" t="s">
        <v>4</v>
      </c>
      <c r="E55" s="6" t="s">
        <v>228</v>
      </c>
      <c r="F55">
        <v>2020</v>
      </c>
      <c r="G55" t="s">
        <v>291</v>
      </c>
      <c r="H55" t="s">
        <v>203</v>
      </c>
      <c r="I55" s="2">
        <v>0.2</v>
      </c>
      <c r="J55" t="s">
        <v>203</v>
      </c>
      <c r="K55" s="9">
        <f>I55</f>
        <v>0.2</v>
      </c>
      <c r="L55" s="13" t="s">
        <v>259</v>
      </c>
      <c r="M55" s="10" t="s">
        <v>266</v>
      </c>
      <c r="N55" t="s">
        <v>33</v>
      </c>
      <c r="O55" t="s">
        <v>233</v>
      </c>
    </row>
    <row r="56" spans="1:15" x14ac:dyDescent="0.2">
      <c r="A56" s="6">
        <v>55</v>
      </c>
      <c r="B56" t="s">
        <v>141</v>
      </c>
      <c r="C56" t="s">
        <v>32</v>
      </c>
      <c r="D56" t="s">
        <v>4</v>
      </c>
      <c r="E56" s="6" t="s">
        <v>228</v>
      </c>
      <c r="F56">
        <v>2020</v>
      </c>
      <c r="G56" t="s">
        <v>291</v>
      </c>
      <c r="H56" t="s">
        <v>29</v>
      </c>
      <c r="I56" s="2">
        <v>0.25</v>
      </c>
      <c r="J56" t="s">
        <v>208</v>
      </c>
      <c r="K56" s="9">
        <f>I56*1.6%</f>
        <v>4.0000000000000001E-3</v>
      </c>
      <c r="L56" s="14" t="s">
        <v>263</v>
      </c>
      <c r="M56" s="10" t="s">
        <v>255</v>
      </c>
      <c r="N56" t="s">
        <v>28</v>
      </c>
      <c r="O56" s="7" t="s">
        <v>260</v>
      </c>
    </row>
    <row r="57" spans="1:15" x14ac:dyDescent="0.2">
      <c r="A57" s="6">
        <v>56</v>
      </c>
      <c r="B57" t="s">
        <v>142</v>
      </c>
      <c r="C57" t="s">
        <v>32</v>
      </c>
      <c r="D57" t="s">
        <v>4</v>
      </c>
      <c r="E57" s="6" t="s">
        <v>228</v>
      </c>
      <c r="F57">
        <v>2020</v>
      </c>
      <c r="G57" t="s">
        <v>291</v>
      </c>
      <c r="H57" t="s">
        <v>1</v>
      </c>
      <c r="I57" s="2">
        <v>0.42</v>
      </c>
      <c r="J57" t="s">
        <v>206</v>
      </c>
      <c r="K57" s="9">
        <f>I57</f>
        <v>0.42</v>
      </c>
      <c r="L57" s="13" t="s">
        <v>259</v>
      </c>
      <c r="M57" s="10"/>
      <c r="N57" s="10" t="s">
        <v>205</v>
      </c>
      <c r="O57" t="s">
        <v>233</v>
      </c>
    </row>
    <row r="58" spans="1:15" x14ac:dyDescent="0.2">
      <c r="A58" s="6">
        <v>57</v>
      </c>
      <c r="B58" t="s">
        <v>143</v>
      </c>
      <c r="C58" t="s">
        <v>34</v>
      </c>
      <c r="D58" t="s">
        <v>5</v>
      </c>
      <c r="E58" s="6" t="s">
        <v>225</v>
      </c>
      <c r="F58">
        <v>2020</v>
      </c>
      <c r="G58" t="s">
        <v>289</v>
      </c>
      <c r="H58" t="s">
        <v>1</v>
      </c>
      <c r="I58" s="2">
        <v>1.45</v>
      </c>
      <c r="J58" t="s">
        <v>206</v>
      </c>
      <c r="K58" s="9">
        <f>I58</f>
        <v>1.45</v>
      </c>
      <c r="L58" s="13" t="s">
        <v>259</v>
      </c>
      <c r="M58" s="10"/>
      <c r="N58" s="10" t="s">
        <v>205</v>
      </c>
      <c r="O58" t="s">
        <v>233</v>
      </c>
    </row>
    <row r="59" spans="1:15" x14ac:dyDescent="0.2">
      <c r="A59" s="6">
        <v>58</v>
      </c>
      <c r="B59" t="s">
        <v>144</v>
      </c>
      <c r="C59" t="s">
        <v>34</v>
      </c>
      <c r="D59" t="s">
        <v>5</v>
      </c>
      <c r="E59" s="6" t="s">
        <v>225</v>
      </c>
      <c r="F59">
        <v>2020</v>
      </c>
      <c r="G59" t="s">
        <v>289</v>
      </c>
      <c r="H59" t="s">
        <v>1</v>
      </c>
      <c r="I59" s="2">
        <v>3.5</v>
      </c>
      <c r="J59" t="s">
        <v>206</v>
      </c>
      <c r="K59" s="9">
        <f>I59</f>
        <v>3.5</v>
      </c>
      <c r="L59" s="13" t="s">
        <v>259</v>
      </c>
      <c r="M59" s="10"/>
      <c r="N59" s="10" t="s">
        <v>205</v>
      </c>
      <c r="O59" t="s">
        <v>233</v>
      </c>
    </row>
    <row r="60" spans="1:15" x14ac:dyDescent="0.2">
      <c r="A60" s="6">
        <v>59</v>
      </c>
      <c r="B60" t="s">
        <v>145</v>
      </c>
      <c r="C60" t="s">
        <v>40</v>
      </c>
      <c r="D60" t="s">
        <v>7</v>
      </c>
      <c r="E60" s="6" t="s">
        <v>225</v>
      </c>
      <c r="F60">
        <v>2020</v>
      </c>
      <c r="G60" t="s">
        <v>289</v>
      </c>
      <c r="H60" t="s">
        <v>1</v>
      </c>
      <c r="I60" s="2">
        <v>1.67</v>
      </c>
      <c r="J60" t="s">
        <v>206</v>
      </c>
      <c r="K60" s="9">
        <f>I60</f>
        <v>1.67</v>
      </c>
      <c r="L60" s="13" t="s">
        <v>259</v>
      </c>
      <c r="M60" s="10"/>
      <c r="N60" s="10" t="s">
        <v>205</v>
      </c>
      <c r="O60" t="s">
        <v>233</v>
      </c>
    </row>
    <row r="61" spans="1:15" x14ac:dyDescent="0.2">
      <c r="A61" s="6">
        <v>60</v>
      </c>
      <c r="B61" t="s">
        <v>146</v>
      </c>
      <c r="C61" t="s">
        <v>47</v>
      </c>
      <c r="D61" t="s">
        <v>11</v>
      </c>
      <c r="E61" s="6" t="s">
        <v>224</v>
      </c>
      <c r="F61">
        <v>2020</v>
      </c>
      <c r="G61" t="s">
        <v>291</v>
      </c>
      <c r="H61" t="s">
        <v>235</v>
      </c>
      <c r="I61" s="2">
        <v>0.06</v>
      </c>
      <c r="J61" t="s">
        <v>203</v>
      </c>
      <c r="K61" s="9">
        <f>10%*I61</f>
        <v>6.0000000000000001E-3</v>
      </c>
      <c r="L61" s="13" t="s">
        <v>287</v>
      </c>
      <c r="M61" s="10" t="s">
        <v>266</v>
      </c>
      <c r="N61" t="s">
        <v>56</v>
      </c>
      <c r="O61" t="s">
        <v>233</v>
      </c>
    </row>
    <row r="62" spans="1:15" x14ac:dyDescent="0.2">
      <c r="A62" s="6">
        <v>61</v>
      </c>
      <c r="B62" t="s">
        <v>147</v>
      </c>
      <c r="C62" t="s">
        <v>47</v>
      </c>
      <c r="D62" t="s">
        <v>11</v>
      </c>
      <c r="E62" s="6" t="s">
        <v>224</v>
      </c>
      <c r="F62">
        <v>2020</v>
      </c>
      <c r="G62" t="s">
        <v>291</v>
      </c>
      <c r="H62" t="s">
        <v>26</v>
      </c>
      <c r="I62" s="2">
        <v>0.47</v>
      </c>
      <c r="J62" t="s">
        <v>26</v>
      </c>
      <c r="K62" s="9">
        <f>I62*0.2*12.8%</f>
        <v>1.2032000000000001E-2</v>
      </c>
      <c r="L62" s="13" t="s">
        <v>281</v>
      </c>
      <c r="M62" s="10" t="s">
        <v>256</v>
      </c>
      <c r="N62" t="s">
        <v>25</v>
      </c>
      <c r="O62" t="s">
        <v>233</v>
      </c>
    </row>
    <row r="63" spans="1:15" x14ac:dyDescent="0.2">
      <c r="A63" s="6">
        <v>62</v>
      </c>
      <c r="B63" t="s">
        <v>148</v>
      </c>
      <c r="C63" t="s">
        <v>73</v>
      </c>
      <c r="D63" t="s">
        <v>72</v>
      </c>
      <c r="E63" s="6" t="s">
        <v>224</v>
      </c>
      <c r="F63">
        <v>2020</v>
      </c>
      <c r="G63" t="s">
        <v>291</v>
      </c>
      <c r="H63" t="s">
        <v>237</v>
      </c>
      <c r="I63" s="2">
        <v>0.2</v>
      </c>
      <c r="J63" t="s">
        <v>202</v>
      </c>
      <c r="K63" s="9">
        <f>I63*12.8%*0.8</f>
        <v>2.0480000000000002E-2</v>
      </c>
      <c r="L63" s="13" t="s">
        <v>280</v>
      </c>
      <c r="M63" s="10" t="s">
        <v>267</v>
      </c>
      <c r="O63" t="s">
        <v>233</v>
      </c>
    </row>
    <row r="64" spans="1:15" x14ac:dyDescent="0.2">
      <c r="A64" s="6">
        <v>63</v>
      </c>
      <c r="B64" t="s">
        <v>149</v>
      </c>
      <c r="C64" t="s">
        <v>58</v>
      </c>
      <c r="D64" t="s">
        <v>15</v>
      </c>
      <c r="E64" s="6" t="s">
        <v>226</v>
      </c>
      <c r="F64">
        <v>2022</v>
      </c>
      <c r="G64" t="s">
        <v>289</v>
      </c>
      <c r="H64" t="s">
        <v>245</v>
      </c>
      <c r="I64" s="2">
        <v>0.1152</v>
      </c>
      <c r="J64" t="s">
        <v>243</v>
      </c>
      <c r="K64" s="9">
        <f>I64</f>
        <v>0.1152</v>
      </c>
      <c r="L64" s="13" t="s">
        <v>259</v>
      </c>
      <c r="M64" s="12" t="s">
        <v>270</v>
      </c>
      <c r="N64" t="s">
        <v>211</v>
      </c>
      <c r="O64" t="s">
        <v>233</v>
      </c>
    </row>
    <row r="65" spans="1:15" x14ac:dyDescent="0.2">
      <c r="A65" s="6">
        <v>64</v>
      </c>
      <c r="B65" t="s">
        <v>150</v>
      </c>
      <c r="C65" t="s">
        <v>58</v>
      </c>
      <c r="D65" t="s">
        <v>15</v>
      </c>
      <c r="E65" s="6" t="s">
        <v>226</v>
      </c>
      <c r="F65">
        <v>2022</v>
      </c>
      <c r="G65" t="s">
        <v>289</v>
      </c>
      <c r="H65" t="s">
        <v>42</v>
      </c>
      <c r="I65" s="2">
        <v>8.1600000000000006E-2</v>
      </c>
      <c r="J65" t="s">
        <v>202</v>
      </c>
      <c r="K65" s="9">
        <f>I65</f>
        <v>8.1600000000000006E-2</v>
      </c>
      <c r="L65" s="13" t="s">
        <v>259</v>
      </c>
      <c r="M65" s="10" t="s">
        <v>267</v>
      </c>
      <c r="O65" t="s">
        <v>233</v>
      </c>
    </row>
    <row r="66" spans="1:15" x14ac:dyDescent="0.2">
      <c r="A66" s="6">
        <v>65</v>
      </c>
      <c r="B66" t="s">
        <v>151</v>
      </c>
      <c r="C66" t="s">
        <v>35</v>
      </c>
      <c r="D66" t="s">
        <v>36</v>
      </c>
      <c r="E66" s="6" t="s">
        <v>219</v>
      </c>
      <c r="F66">
        <v>2025</v>
      </c>
      <c r="G66" t="s">
        <v>290</v>
      </c>
      <c r="H66" t="s">
        <v>1</v>
      </c>
      <c r="I66" s="2">
        <v>5.8</v>
      </c>
      <c r="J66" t="s">
        <v>214</v>
      </c>
      <c r="K66" s="9">
        <f>I66</f>
        <v>5.8</v>
      </c>
      <c r="L66" s="13" t="s">
        <v>259</v>
      </c>
      <c r="N66" s="6" t="s">
        <v>215</v>
      </c>
      <c r="O66" t="s">
        <v>233</v>
      </c>
    </row>
    <row r="67" spans="1:15" x14ac:dyDescent="0.2">
      <c r="A67" s="6">
        <v>66</v>
      </c>
      <c r="B67" t="s">
        <v>152</v>
      </c>
      <c r="C67" t="s">
        <v>52</v>
      </c>
      <c r="D67" t="s">
        <v>51</v>
      </c>
      <c r="E67" s="6" t="s">
        <v>226</v>
      </c>
      <c r="F67">
        <v>2025</v>
      </c>
      <c r="G67" t="s">
        <v>291</v>
      </c>
      <c r="H67" t="s">
        <v>198</v>
      </c>
      <c r="I67" s="2">
        <v>0.55000000000000004</v>
      </c>
      <c r="J67" t="s">
        <v>198</v>
      </c>
      <c r="K67" s="9">
        <f>I67*12.8%*0.2</f>
        <v>1.4080000000000002E-2</v>
      </c>
      <c r="L67" s="13" t="s">
        <v>282</v>
      </c>
      <c r="M67" s="10" t="s">
        <v>256</v>
      </c>
      <c r="N67" t="s">
        <v>197</v>
      </c>
      <c r="O67" t="s">
        <v>233</v>
      </c>
    </row>
    <row r="68" spans="1:15" x14ac:dyDescent="0.2">
      <c r="A68" s="6">
        <v>67</v>
      </c>
      <c r="B68" t="s">
        <v>153</v>
      </c>
      <c r="C68" t="s">
        <v>52</v>
      </c>
      <c r="D68" t="s">
        <v>51</v>
      </c>
      <c r="E68" s="6" t="s">
        <v>226</v>
      </c>
      <c r="F68">
        <v>2025</v>
      </c>
      <c r="G68" t="s">
        <v>289</v>
      </c>
      <c r="H68" t="s">
        <v>61</v>
      </c>
      <c r="I68" s="2">
        <v>0.45</v>
      </c>
      <c r="J68" t="s">
        <v>204</v>
      </c>
      <c r="K68" s="9">
        <f>I68*12.8%*0.8</f>
        <v>4.608000000000001E-2</v>
      </c>
      <c r="L68" s="13" t="s">
        <v>280</v>
      </c>
      <c r="M68" s="10" t="s">
        <v>255</v>
      </c>
      <c r="N68" t="s">
        <v>262</v>
      </c>
      <c r="O68" s="7" t="s">
        <v>261</v>
      </c>
    </row>
    <row r="69" spans="1:15" x14ac:dyDescent="0.2">
      <c r="A69" s="6">
        <v>68</v>
      </c>
      <c r="B69" t="s">
        <v>154</v>
      </c>
      <c r="C69" t="s">
        <v>52</v>
      </c>
      <c r="D69" t="s">
        <v>51</v>
      </c>
      <c r="E69" s="6" t="s">
        <v>226</v>
      </c>
      <c r="F69">
        <v>2025</v>
      </c>
      <c r="G69" t="s">
        <v>291</v>
      </c>
      <c r="H69" t="s">
        <v>241</v>
      </c>
      <c r="I69" s="2">
        <v>0.8</v>
      </c>
      <c r="J69" t="s">
        <v>203</v>
      </c>
      <c r="K69" s="9">
        <f>3%*I69</f>
        <v>2.4E-2</v>
      </c>
      <c r="L69" s="13" t="s">
        <v>288</v>
      </c>
      <c r="M69" s="10" t="s">
        <v>266</v>
      </c>
      <c r="O69" t="s">
        <v>233</v>
      </c>
    </row>
    <row r="70" spans="1:15" x14ac:dyDescent="0.2">
      <c r="A70" s="6">
        <v>69</v>
      </c>
      <c r="B70" t="s">
        <v>155</v>
      </c>
      <c r="C70" t="s">
        <v>52</v>
      </c>
      <c r="D70" t="s">
        <v>51</v>
      </c>
      <c r="E70" s="6" t="s">
        <v>226</v>
      </c>
      <c r="F70">
        <v>2025</v>
      </c>
      <c r="G70" t="s">
        <v>289</v>
      </c>
      <c r="H70" t="s">
        <v>29</v>
      </c>
      <c r="I70" s="2">
        <v>0.8</v>
      </c>
      <c r="J70" t="s">
        <v>208</v>
      </c>
      <c r="K70" s="9">
        <f>I70*1.6%</f>
        <v>1.2800000000000001E-2</v>
      </c>
      <c r="L70" s="14" t="s">
        <v>263</v>
      </c>
      <c r="M70" s="10" t="s">
        <v>255</v>
      </c>
      <c r="N70" t="s">
        <v>28</v>
      </c>
      <c r="O70" s="7" t="s">
        <v>260</v>
      </c>
    </row>
    <row r="71" spans="1:15" x14ac:dyDescent="0.2">
      <c r="A71" s="6">
        <v>70</v>
      </c>
      <c r="B71" t="s">
        <v>156</v>
      </c>
      <c r="C71" t="s">
        <v>52</v>
      </c>
      <c r="D71" t="s">
        <v>51</v>
      </c>
      <c r="E71" s="6" t="s">
        <v>226</v>
      </c>
      <c r="F71">
        <v>2025</v>
      </c>
      <c r="G71" t="s">
        <v>289</v>
      </c>
      <c r="H71" t="s">
        <v>42</v>
      </c>
      <c r="I71" s="2">
        <v>0.37</v>
      </c>
      <c r="J71" t="s">
        <v>202</v>
      </c>
      <c r="K71" s="9">
        <f>I71</f>
        <v>0.37</v>
      </c>
      <c r="L71" s="13" t="s">
        <v>259</v>
      </c>
      <c r="M71" s="10" t="s">
        <v>267</v>
      </c>
      <c r="O71" t="s">
        <v>233</v>
      </c>
    </row>
    <row r="72" spans="1:15" x14ac:dyDescent="0.2">
      <c r="A72" s="6">
        <v>71</v>
      </c>
      <c r="B72" t="s">
        <v>157</v>
      </c>
      <c r="C72" t="s">
        <v>52</v>
      </c>
      <c r="D72" t="s">
        <v>51</v>
      </c>
      <c r="E72" s="6" t="s">
        <v>226</v>
      </c>
      <c r="F72">
        <v>2025</v>
      </c>
      <c r="G72" t="s">
        <v>291</v>
      </c>
      <c r="H72" t="s">
        <v>26</v>
      </c>
      <c r="I72" s="2">
        <v>0.32</v>
      </c>
      <c r="J72" t="s">
        <v>26</v>
      </c>
      <c r="K72" s="9">
        <f>I72*0.2*12.8%</f>
        <v>8.1919999999999996E-3</v>
      </c>
      <c r="L72" s="13" t="s">
        <v>281</v>
      </c>
      <c r="M72" s="10" t="s">
        <v>256</v>
      </c>
      <c r="N72" t="s">
        <v>25</v>
      </c>
      <c r="O72" t="s">
        <v>233</v>
      </c>
    </row>
    <row r="73" spans="1:15" x14ac:dyDescent="0.2">
      <c r="A73" s="6">
        <v>72</v>
      </c>
      <c r="B73" t="s">
        <v>158</v>
      </c>
      <c r="C73" t="s">
        <v>54</v>
      </c>
      <c r="D73" t="s">
        <v>53</v>
      </c>
      <c r="E73" s="6" t="s">
        <v>230</v>
      </c>
      <c r="F73">
        <v>2025</v>
      </c>
      <c r="G73" t="s">
        <v>292</v>
      </c>
      <c r="H73" t="s">
        <v>239</v>
      </c>
      <c r="I73" s="2">
        <v>0.4</v>
      </c>
      <c r="J73" t="s">
        <v>214</v>
      </c>
      <c r="K73" s="9">
        <f>I73</f>
        <v>0.4</v>
      </c>
      <c r="L73" s="13" t="s">
        <v>259</v>
      </c>
      <c r="N73" s="6" t="s">
        <v>215</v>
      </c>
      <c r="O73" t="s">
        <v>233</v>
      </c>
    </row>
    <row r="74" spans="1:15" x14ac:dyDescent="0.2">
      <c r="A74" s="6">
        <v>73</v>
      </c>
      <c r="B74" t="s">
        <v>159</v>
      </c>
      <c r="C74" t="s">
        <v>75</v>
      </c>
      <c r="D74" t="s">
        <v>74</v>
      </c>
      <c r="E74" s="6" t="s">
        <v>229</v>
      </c>
      <c r="F74">
        <v>2025</v>
      </c>
      <c r="G74" t="s">
        <v>289</v>
      </c>
      <c r="H74" t="s">
        <v>245</v>
      </c>
      <c r="I74" s="2">
        <v>0.1</v>
      </c>
      <c r="J74" t="s">
        <v>243</v>
      </c>
      <c r="K74" s="9">
        <f>I74</f>
        <v>0.1</v>
      </c>
      <c r="L74" s="13" t="s">
        <v>259</v>
      </c>
      <c r="M74" s="12" t="s">
        <v>270</v>
      </c>
      <c r="N74" t="s">
        <v>211</v>
      </c>
      <c r="O74" t="s">
        <v>233</v>
      </c>
    </row>
    <row r="75" spans="1:15" x14ac:dyDescent="0.2">
      <c r="A75" s="6">
        <v>74</v>
      </c>
      <c r="B75" t="s">
        <v>160</v>
      </c>
      <c r="C75" t="s">
        <v>75</v>
      </c>
      <c r="D75" t="s">
        <v>74</v>
      </c>
      <c r="E75" s="6" t="s">
        <v>229</v>
      </c>
      <c r="F75">
        <v>2025</v>
      </c>
      <c r="G75" t="s">
        <v>289</v>
      </c>
      <c r="H75" t="s">
        <v>42</v>
      </c>
      <c r="I75" s="2">
        <v>0.12</v>
      </c>
      <c r="J75" t="s">
        <v>202</v>
      </c>
      <c r="K75" s="9">
        <f>I75</f>
        <v>0.12</v>
      </c>
      <c r="L75" s="13" t="s">
        <v>259</v>
      </c>
      <c r="M75" s="10" t="s">
        <v>267</v>
      </c>
      <c r="O75" t="s">
        <v>233</v>
      </c>
    </row>
    <row r="76" spans="1:15" x14ac:dyDescent="0.2">
      <c r="A76" s="6">
        <v>75</v>
      </c>
      <c r="B76" t="s">
        <v>161</v>
      </c>
      <c r="C76" t="s">
        <v>79</v>
      </c>
      <c r="D76" t="s">
        <v>80</v>
      </c>
      <c r="E76" s="6" t="s">
        <v>231</v>
      </c>
      <c r="F76">
        <v>2025</v>
      </c>
      <c r="G76" t="s">
        <v>292</v>
      </c>
      <c r="H76" t="s">
        <v>77</v>
      </c>
      <c r="I76" s="2">
        <v>5.8099999999999999E-2</v>
      </c>
      <c r="J76" t="s">
        <v>213</v>
      </c>
      <c r="K76" s="9">
        <f>I76</f>
        <v>5.8099999999999999E-2</v>
      </c>
      <c r="L76" s="13" t="s">
        <v>259</v>
      </c>
      <c r="M76" s="10" t="s">
        <v>251</v>
      </c>
      <c r="N76" t="s">
        <v>76</v>
      </c>
      <c r="O76" t="s">
        <v>233</v>
      </c>
    </row>
    <row r="77" spans="1:15" x14ac:dyDescent="0.2">
      <c r="A77" s="6">
        <v>76</v>
      </c>
      <c r="B77" t="s">
        <v>162</v>
      </c>
      <c r="C77" t="s">
        <v>79</v>
      </c>
      <c r="D77" t="s">
        <v>80</v>
      </c>
      <c r="E77" s="6" t="s">
        <v>231</v>
      </c>
      <c r="F77">
        <v>2025</v>
      </c>
      <c r="G77" t="s">
        <v>292</v>
      </c>
      <c r="H77" t="s">
        <v>235</v>
      </c>
      <c r="I77" s="2">
        <v>3.2799999999999996E-2</v>
      </c>
      <c r="J77" t="s">
        <v>272</v>
      </c>
      <c r="K77" s="9">
        <v>4.9199999999999999E-3</v>
      </c>
      <c r="L77" s="13" t="s">
        <v>274</v>
      </c>
      <c r="M77" s="10" t="s">
        <v>253</v>
      </c>
      <c r="N77" t="s">
        <v>273</v>
      </c>
      <c r="O77" t="s">
        <v>233</v>
      </c>
    </row>
    <row r="78" spans="1:15" x14ac:dyDescent="0.2">
      <c r="A78" s="6">
        <v>77</v>
      </c>
      <c r="B78" t="s">
        <v>163</v>
      </c>
      <c r="C78" t="s">
        <v>79</v>
      </c>
      <c r="D78" t="s">
        <v>80</v>
      </c>
      <c r="E78" s="6" t="s">
        <v>231</v>
      </c>
      <c r="F78">
        <v>2025</v>
      </c>
      <c r="G78" t="s">
        <v>292</v>
      </c>
      <c r="H78" t="s">
        <v>78</v>
      </c>
      <c r="I78" s="2">
        <v>6.4199999999999993E-2</v>
      </c>
      <c r="J78" t="s">
        <v>252</v>
      </c>
      <c r="K78" s="9">
        <f>I78</f>
        <v>6.4199999999999993E-2</v>
      </c>
      <c r="L78" s="13" t="s">
        <v>259</v>
      </c>
      <c r="M78" s="10" t="s">
        <v>251</v>
      </c>
      <c r="O78" t="s">
        <v>233</v>
      </c>
    </row>
    <row r="79" spans="1:15" x14ac:dyDescent="0.2">
      <c r="A79" s="6">
        <v>78</v>
      </c>
      <c r="B79" t="s">
        <v>164</v>
      </c>
      <c r="C79" t="s">
        <v>79</v>
      </c>
      <c r="D79" t="s">
        <v>80</v>
      </c>
      <c r="E79" s="6" t="s">
        <v>231</v>
      </c>
      <c r="F79">
        <v>2025</v>
      </c>
      <c r="G79" t="s">
        <v>292</v>
      </c>
      <c r="H79" t="s">
        <v>78</v>
      </c>
      <c r="I79" s="2">
        <v>0.11320000000000001</v>
      </c>
      <c r="J79" t="s">
        <v>252</v>
      </c>
      <c r="K79" s="9">
        <f>I79</f>
        <v>0.11320000000000001</v>
      </c>
      <c r="L79" s="13" t="s">
        <v>259</v>
      </c>
      <c r="M79" s="10" t="s">
        <v>251</v>
      </c>
      <c r="O79" t="s">
        <v>233</v>
      </c>
    </row>
    <row r="80" spans="1:15" x14ac:dyDescent="0.2">
      <c r="A80" s="6">
        <v>79</v>
      </c>
      <c r="B80" t="s">
        <v>165</v>
      </c>
      <c r="C80" s="1" t="s">
        <v>82</v>
      </c>
      <c r="D80" t="s">
        <v>81</v>
      </c>
      <c r="E80" s="6" t="s">
        <v>226</v>
      </c>
      <c r="F80">
        <v>2025</v>
      </c>
      <c r="G80" t="s">
        <v>289</v>
      </c>
      <c r="H80" t="s">
        <v>42</v>
      </c>
      <c r="I80" s="2">
        <v>0.1</v>
      </c>
      <c r="J80" t="s">
        <v>202</v>
      </c>
      <c r="K80" s="9">
        <f>I80</f>
        <v>0.1</v>
      </c>
      <c r="L80" s="13" t="s">
        <v>259</v>
      </c>
      <c r="M80" s="10" t="s">
        <v>267</v>
      </c>
      <c r="O80" t="s">
        <v>233</v>
      </c>
    </row>
    <row r="81" spans="1:18" x14ac:dyDescent="0.2">
      <c r="A81" s="6">
        <v>80</v>
      </c>
      <c r="B81" t="s">
        <v>166</v>
      </c>
      <c r="C81" s="1" t="s">
        <v>82</v>
      </c>
      <c r="D81" t="s">
        <v>81</v>
      </c>
      <c r="E81" s="6" t="s">
        <v>226</v>
      </c>
      <c r="F81">
        <v>2025</v>
      </c>
      <c r="G81" t="s">
        <v>289</v>
      </c>
      <c r="H81" t="s">
        <v>244</v>
      </c>
      <c r="I81" s="2">
        <v>0.28000000000000003</v>
      </c>
      <c r="J81" t="s">
        <v>242</v>
      </c>
      <c r="K81" s="9">
        <f>I81</f>
        <v>0.28000000000000003</v>
      </c>
      <c r="L81" s="13" t="s">
        <v>259</v>
      </c>
      <c r="M81" s="12" t="s">
        <v>265</v>
      </c>
      <c r="N81" t="s">
        <v>200</v>
      </c>
      <c r="O81" t="s">
        <v>233</v>
      </c>
    </row>
    <row r="82" spans="1:18" x14ac:dyDescent="0.2">
      <c r="A82" s="6">
        <v>81</v>
      </c>
      <c r="B82" t="s">
        <v>167</v>
      </c>
      <c r="C82" s="1" t="s">
        <v>82</v>
      </c>
      <c r="D82" t="s">
        <v>81</v>
      </c>
      <c r="E82" s="6" t="s">
        <v>226</v>
      </c>
      <c r="F82">
        <v>2025</v>
      </c>
      <c r="G82" t="s">
        <v>291</v>
      </c>
      <c r="H82" t="s">
        <v>198</v>
      </c>
      <c r="I82" s="2">
        <v>0.3</v>
      </c>
      <c r="J82" t="s">
        <v>198</v>
      </c>
      <c r="K82" s="9">
        <f>I82*12.8%*0.2</f>
        <v>7.6799999999999993E-3</v>
      </c>
      <c r="L82" s="13" t="s">
        <v>282</v>
      </c>
      <c r="M82" s="10" t="s">
        <v>256</v>
      </c>
      <c r="N82" t="s">
        <v>197</v>
      </c>
      <c r="O82" t="s">
        <v>233</v>
      </c>
    </row>
    <row r="83" spans="1:18" x14ac:dyDescent="0.2">
      <c r="A83" s="6">
        <v>82</v>
      </c>
      <c r="B83" t="s">
        <v>168</v>
      </c>
      <c r="C83" t="s">
        <v>84</v>
      </c>
      <c r="D83" t="s">
        <v>83</v>
      </c>
      <c r="E83" s="6" t="s">
        <v>219</v>
      </c>
      <c r="F83">
        <v>2025</v>
      </c>
      <c r="G83" t="s">
        <v>292</v>
      </c>
      <c r="H83" t="s">
        <v>240</v>
      </c>
      <c r="I83" s="2">
        <v>0.15</v>
      </c>
      <c r="J83" t="s">
        <v>252</v>
      </c>
      <c r="K83" s="11">
        <f>I83*30%</f>
        <v>4.4999999999999998E-2</v>
      </c>
      <c r="L83" s="13" t="s">
        <v>279</v>
      </c>
      <c r="M83" s="10" t="s">
        <v>251</v>
      </c>
      <c r="O83" t="s">
        <v>278</v>
      </c>
    </row>
    <row r="84" spans="1:18" x14ac:dyDescent="0.2">
      <c r="A84" s="6">
        <v>83</v>
      </c>
      <c r="B84" t="s">
        <v>169</v>
      </c>
      <c r="C84" t="s">
        <v>84</v>
      </c>
      <c r="D84" t="s">
        <v>83</v>
      </c>
      <c r="E84" s="6" t="s">
        <v>219</v>
      </c>
      <c r="F84">
        <v>2025</v>
      </c>
      <c r="G84" t="s">
        <v>289</v>
      </c>
      <c r="H84" t="s">
        <v>240</v>
      </c>
      <c r="I84" s="2">
        <v>0.15</v>
      </c>
      <c r="J84" s="3" t="s">
        <v>202</v>
      </c>
      <c r="K84" s="9">
        <f>20%*I84</f>
        <v>0.03</v>
      </c>
      <c r="L84" s="13" t="s">
        <v>285</v>
      </c>
      <c r="M84" s="10" t="s">
        <v>267</v>
      </c>
      <c r="O84" t="s">
        <v>233</v>
      </c>
    </row>
    <row r="85" spans="1:18" x14ac:dyDescent="0.2">
      <c r="A85" s="6">
        <v>84</v>
      </c>
      <c r="B85" t="s">
        <v>170</v>
      </c>
      <c r="C85" t="s">
        <v>84</v>
      </c>
      <c r="D85" t="s">
        <v>83</v>
      </c>
      <c r="E85" s="6" t="s">
        <v>219</v>
      </c>
      <c r="F85">
        <v>2025</v>
      </c>
      <c r="G85" t="s">
        <v>289</v>
      </c>
      <c r="H85" t="s">
        <v>247</v>
      </c>
      <c r="I85" s="2">
        <v>0.22</v>
      </c>
      <c r="J85" t="s">
        <v>209</v>
      </c>
      <c r="K85" s="9">
        <f>10%*I85</f>
        <v>2.2000000000000002E-2</v>
      </c>
      <c r="L85" s="14" t="s">
        <v>286</v>
      </c>
      <c r="M85" s="10" t="s">
        <v>255</v>
      </c>
      <c r="O85" t="s">
        <v>233</v>
      </c>
      <c r="R85" s="5"/>
    </row>
    <row r="86" spans="1:18" x14ac:dyDescent="0.2">
      <c r="A86" s="6">
        <v>85</v>
      </c>
      <c r="B86" t="s">
        <v>171</v>
      </c>
      <c r="C86" t="s">
        <v>84</v>
      </c>
      <c r="D86" t="s">
        <v>83</v>
      </c>
      <c r="E86" s="6" t="s">
        <v>219</v>
      </c>
      <c r="F86">
        <v>2025</v>
      </c>
      <c r="G86" t="s">
        <v>289</v>
      </c>
      <c r="H86" t="s">
        <v>236</v>
      </c>
      <c r="I86" s="2">
        <v>0.18</v>
      </c>
      <c r="J86" t="s">
        <v>202</v>
      </c>
      <c r="K86" s="9">
        <v>1.7999999999999999E-2</v>
      </c>
      <c r="L86" s="13" t="s">
        <v>283</v>
      </c>
      <c r="M86" s="10" t="s">
        <v>255</v>
      </c>
      <c r="O86" t="s">
        <v>233</v>
      </c>
      <c r="R86" s="5"/>
    </row>
    <row r="87" spans="1:18" x14ac:dyDescent="0.2">
      <c r="A87" s="6">
        <v>86</v>
      </c>
      <c r="B87" t="s">
        <v>172</v>
      </c>
      <c r="C87" t="s">
        <v>84</v>
      </c>
      <c r="D87" t="s">
        <v>83</v>
      </c>
      <c r="E87" s="6" t="s">
        <v>219</v>
      </c>
      <c r="F87">
        <v>2025</v>
      </c>
      <c r="G87" t="s">
        <v>289</v>
      </c>
      <c r="H87" t="s">
        <v>238</v>
      </c>
      <c r="I87" s="2">
        <v>0.25</v>
      </c>
      <c r="J87" t="s">
        <v>202</v>
      </c>
      <c r="K87" s="9">
        <v>5.0000000000000001E-3</v>
      </c>
      <c r="L87" s="13" t="s">
        <v>286</v>
      </c>
      <c r="M87" s="10" t="s">
        <v>267</v>
      </c>
      <c r="O87" t="s">
        <v>233</v>
      </c>
      <c r="R87" s="5"/>
    </row>
    <row r="88" spans="1:18" x14ac:dyDescent="0.2">
      <c r="A88" s="6">
        <v>87</v>
      </c>
      <c r="B88" t="s">
        <v>173</v>
      </c>
      <c r="C88" t="s">
        <v>84</v>
      </c>
      <c r="D88" t="s">
        <v>83</v>
      </c>
      <c r="E88" s="6" t="s">
        <v>219</v>
      </c>
      <c r="F88">
        <v>2025</v>
      </c>
      <c r="G88" t="s">
        <v>289</v>
      </c>
      <c r="H88" t="s">
        <v>85</v>
      </c>
      <c r="I88" s="2">
        <v>0.14000000000000001</v>
      </c>
      <c r="J88" t="s">
        <v>202</v>
      </c>
      <c r="K88" s="9">
        <f>0.5%*I88</f>
        <v>7.000000000000001E-4</v>
      </c>
      <c r="L88" s="13" t="s">
        <v>284</v>
      </c>
      <c r="M88" s="10" t="s">
        <v>267</v>
      </c>
      <c r="O88" t="s">
        <v>233</v>
      </c>
      <c r="R88" s="5"/>
    </row>
    <row r="89" spans="1:18" x14ac:dyDescent="0.2">
      <c r="A89" s="6">
        <v>88</v>
      </c>
      <c r="B89" t="s">
        <v>174</v>
      </c>
      <c r="C89" t="s">
        <v>84</v>
      </c>
      <c r="D89" t="s">
        <v>83</v>
      </c>
      <c r="E89" s="6" t="s">
        <v>219</v>
      </c>
      <c r="F89">
        <v>2025</v>
      </c>
      <c r="G89" t="s">
        <v>289</v>
      </c>
      <c r="H89" t="s">
        <v>42</v>
      </c>
      <c r="I89" s="2">
        <v>0.25</v>
      </c>
      <c r="J89" t="s">
        <v>202</v>
      </c>
      <c r="K89" s="9">
        <f>I89</f>
        <v>0.25</v>
      </c>
      <c r="L89" s="13" t="s">
        <v>259</v>
      </c>
      <c r="M89" s="10" t="s">
        <v>267</v>
      </c>
      <c r="O89" t="s">
        <v>233</v>
      </c>
      <c r="R89" s="5"/>
    </row>
    <row r="90" spans="1:18" x14ac:dyDescent="0.2">
      <c r="A90" s="6">
        <v>89</v>
      </c>
      <c r="B90" t="s">
        <v>175</v>
      </c>
      <c r="C90" t="s">
        <v>84</v>
      </c>
      <c r="D90" t="s">
        <v>83</v>
      </c>
      <c r="E90" s="6" t="s">
        <v>219</v>
      </c>
      <c r="F90">
        <v>2025</v>
      </c>
      <c r="G90" t="s">
        <v>289</v>
      </c>
      <c r="H90" t="s">
        <v>246</v>
      </c>
      <c r="I90" s="2">
        <v>0.15</v>
      </c>
      <c r="J90" t="s">
        <v>202</v>
      </c>
      <c r="K90" s="9">
        <f>1%*I90</f>
        <v>1.5E-3</v>
      </c>
      <c r="L90" s="13" t="s">
        <v>286</v>
      </c>
      <c r="M90" s="10" t="s">
        <v>267</v>
      </c>
      <c r="O90" t="s">
        <v>233</v>
      </c>
      <c r="R90" s="5"/>
    </row>
    <row r="91" spans="1:18" x14ac:dyDescent="0.2">
      <c r="A91" s="6">
        <v>90</v>
      </c>
      <c r="B91" t="s">
        <v>176</v>
      </c>
      <c r="C91" t="s">
        <v>84</v>
      </c>
      <c r="D91" t="s">
        <v>83</v>
      </c>
      <c r="E91" s="6" t="s">
        <v>219</v>
      </c>
      <c r="F91">
        <v>2025</v>
      </c>
      <c r="G91" t="s">
        <v>289</v>
      </c>
      <c r="H91" t="s">
        <v>55</v>
      </c>
      <c r="I91" s="2">
        <v>0.17</v>
      </c>
      <c r="J91" t="s">
        <v>199</v>
      </c>
      <c r="K91" s="9">
        <v>0.17</v>
      </c>
      <c r="L91" s="13" t="s">
        <v>259</v>
      </c>
      <c r="M91" s="12" t="s">
        <v>265</v>
      </c>
      <c r="N91" t="s">
        <v>200</v>
      </c>
      <c r="O91" t="s">
        <v>233</v>
      </c>
      <c r="R91" s="5"/>
    </row>
    <row r="92" spans="1:18" x14ac:dyDescent="0.2">
      <c r="A92" s="6">
        <v>91</v>
      </c>
      <c r="B92" t="s">
        <v>177</v>
      </c>
      <c r="C92" t="s">
        <v>84</v>
      </c>
      <c r="D92" t="s">
        <v>83</v>
      </c>
      <c r="E92" s="6" t="s">
        <v>219</v>
      </c>
      <c r="F92">
        <v>2025</v>
      </c>
      <c r="G92" t="s">
        <v>289</v>
      </c>
      <c r="H92" t="s">
        <v>55</v>
      </c>
      <c r="I92" s="2">
        <v>0.2</v>
      </c>
      <c r="J92" t="s">
        <v>199</v>
      </c>
      <c r="K92" s="9">
        <v>0.2</v>
      </c>
      <c r="L92" s="13" t="s">
        <v>259</v>
      </c>
      <c r="M92" s="12" t="s">
        <v>265</v>
      </c>
      <c r="N92" t="s">
        <v>200</v>
      </c>
      <c r="O92" t="s">
        <v>233</v>
      </c>
      <c r="R92" s="5"/>
    </row>
    <row r="93" spans="1:18" x14ac:dyDescent="0.2">
      <c r="A93" s="6">
        <v>92</v>
      </c>
      <c r="B93" t="s">
        <v>178</v>
      </c>
      <c r="C93" s="1" t="s">
        <v>193</v>
      </c>
      <c r="D93" t="s">
        <v>194</v>
      </c>
      <c r="E93" s="6" t="s">
        <v>227</v>
      </c>
      <c r="F93">
        <v>2022</v>
      </c>
      <c r="G93" t="s">
        <v>291</v>
      </c>
      <c r="H93" t="s">
        <v>1</v>
      </c>
      <c r="I93" s="2">
        <v>3.5500000000000003</v>
      </c>
      <c r="J93" t="s">
        <v>206</v>
      </c>
      <c r="K93" s="9">
        <f t="shared" ref="K93:K106" si="2">I93</f>
        <v>3.5500000000000003</v>
      </c>
      <c r="L93" s="13" t="s">
        <v>259</v>
      </c>
      <c r="M93" s="10"/>
      <c r="N93" s="10" t="s">
        <v>205</v>
      </c>
      <c r="O93" t="s">
        <v>233</v>
      </c>
      <c r="R93" s="5"/>
    </row>
    <row r="94" spans="1:18" x14ac:dyDescent="0.2">
      <c r="A94" s="6">
        <v>93</v>
      </c>
      <c r="B94" t="s">
        <v>179</v>
      </c>
      <c r="C94" s="1" t="s">
        <v>193</v>
      </c>
      <c r="D94" t="s">
        <v>194</v>
      </c>
      <c r="E94" s="6" t="s">
        <v>227</v>
      </c>
      <c r="F94">
        <v>2022</v>
      </c>
      <c r="G94" t="s">
        <v>289</v>
      </c>
      <c r="H94" t="s">
        <v>1</v>
      </c>
      <c r="I94" s="2">
        <v>14.2</v>
      </c>
      <c r="J94" t="s">
        <v>206</v>
      </c>
      <c r="K94" s="9">
        <f t="shared" si="2"/>
        <v>14.2</v>
      </c>
      <c r="L94" s="13" t="s">
        <v>259</v>
      </c>
      <c r="M94" s="10"/>
      <c r="N94" s="10" t="s">
        <v>205</v>
      </c>
      <c r="O94" t="s">
        <v>233</v>
      </c>
      <c r="R94" s="5"/>
    </row>
    <row r="95" spans="1:18" x14ac:dyDescent="0.2">
      <c r="A95" s="6">
        <v>94</v>
      </c>
      <c r="B95" t="s">
        <v>180</v>
      </c>
      <c r="C95" s="1" t="s">
        <v>193</v>
      </c>
      <c r="D95" t="s">
        <v>194</v>
      </c>
      <c r="E95" s="6" t="s">
        <v>227</v>
      </c>
      <c r="F95">
        <v>2022</v>
      </c>
      <c r="G95" t="s">
        <v>291</v>
      </c>
      <c r="H95" t="s">
        <v>1</v>
      </c>
      <c r="I95" s="2">
        <v>5.0609999999999999</v>
      </c>
      <c r="J95" t="s">
        <v>206</v>
      </c>
      <c r="K95" s="9">
        <f t="shared" si="2"/>
        <v>5.0609999999999999</v>
      </c>
      <c r="L95" s="13" t="s">
        <v>259</v>
      </c>
      <c r="M95" s="10"/>
      <c r="N95" s="10" t="s">
        <v>205</v>
      </c>
      <c r="O95" t="s">
        <v>233</v>
      </c>
    </row>
    <row r="96" spans="1:18" x14ac:dyDescent="0.2">
      <c r="A96" s="6">
        <v>95</v>
      </c>
      <c r="B96" t="s">
        <v>181</v>
      </c>
      <c r="C96" s="1" t="s">
        <v>193</v>
      </c>
      <c r="D96" t="s">
        <v>194</v>
      </c>
      <c r="E96" s="6" t="s">
        <v>227</v>
      </c>
      <c r="F96">
        <v>2022</v>
      </c>
      <c r="G96" t="s">
        <v>289</v>
      </c>
      <c r="H96" t="s">
        <v>1</v>
      </c>
      <c r="I96" s="2">
        <v>9.3990000000000009</v>
      </c>
      <c r="J96" t="s">
        <v>206</v>
      </c>
      <c r="K96" s="9">
        <f t="shared" si="2"/>
        <v>9.3990000000000009</v>
      </c>
      <c r="L96" s="13" t="s">
        <v>259</v>
      </c>
      <c r="M96" s="10"/>
      <c r="N96" s="10" t="s">
        <v>205</v>
      </c>
      <c r="O96" t="s">
        <v>233</v>
      </c>
    </row>
    <row r="97" spans="1:15" x14ac:dyDescent="0.2">
      <c r="A97" s="6">
        <v>96</v>
      </c>
      <c r="B97" t="s">
        <v>182</v>
      </c>
      <c r="C97" s="1" t="s">
        <v>193</v>
      </c>
      <c r="D97" t="s">
        <v>194</v>
      </c>
      <c r="E97" s="6" t="s">
        <v>227</v>
      </c>
      <c r="F97">
        <v>2022</v>
      </c>
      <c r="G97" t="s">
        <v>291</v>
      </c>
      <c r="H97" t="s">
        <v>1</v>
      </c>
      <c r="I97" s="2">
        <v>1.1720000000000002</v>
      </c>
      <c r="J97" t="s">
        <v>206</v>
      </c>
      <c r="K97" s="9">
        <f t="shared" si="2"/>
        <v>1.1720000000000002</v>
      </c>
      <c r="L97" s="13" t="s">
        <v>259</v>
      </c>
      <c r="M97" s="10"/>
      <c r="N97" s="10" t="s">
        <v>205</v>
      </c>
      <c r="O97" t="s">
        <v>233</v>
      </c>
    </row>
    <row r="98" spans="1:15" x14ac:dyDescent="0.2">
      <c r="A98" s="6">
        <v>97</v>
      </c>
      <c r="B98" t="s">
        <v>183</v>
      </c>
      <c r="C98" s="1" t="s">
        <v>193</v>
      </c>
      <c r="D98" t="s">
        <v>194</v>
      </c>
      <c r="E98" s="6" t="s">
        <v>227</v>
      </c>
      <c r="F98">
        <v>2022</v>
      </c>
      <c r="G98" t="s">
        <v>289</v>
      </c>
      <c r="H98" t="s">
        <v>1</v>
      </c>
      <c r="I98" s="2">
        <v>10.548</v>
      </c>
      <c r="J98" t="s">
        <v>206</v>
      </c>
      <c r="K98" s="9">
        <f t="shared" si="2"/>
        <v>10.548</v>
      </c>
      <c r="L98" s="13" t="s">
        <v>259</v>
      </c>
      <c r="M98" s="10"/>
      <c r="N98" s="10" t="s">
        <v>205</v>
      </c>
      <c r="O98" t="s">
        <v>233</v>
      </c>
    </row>
    <row r="99" spans="1:15" x14ac:dyDescent="0.2">
      <c r="A99" s="6">
        <v>98</v>
      </c>
      <c r="B99" t="s">
        <v>185</v>
      </c>
      <c r="C99" t="s">
        <v>188</v>
      </c>
      <c r="D99" t="s">
        <v>187</v>
      </c>
      <c r="E99" s="6" t="s">
        <v>223</v>
      </c>
      <c r="F99">
        <v>2015</v>
      </c>
      <c r="G99" t="s">
        <v>291</v>
      </c>
      <c r="H99" t="s">
        <v>203</v>
      </c>
      <c r="I99" s="2">
        <v>0.38</v>
      </c>
      <c r="J99" t="s">
        <v>203</v>
      </c>
      <c r="K99" s="9">
        <f t="shared" si="2"/>
        <v>0.38</v>
      </c>
      <c r="L99" s="13" t="s">
        <v>259</v>
      </c>
      <c r="M99" s="10" t="s">
        <v>266</v>
      </c>
      <c r="N99" t="s">
        <v>33</v>
      </c>
      <c r="O99" t="s">
        <v>233</v>
      </c>
    </row>
    <row r="100" spans="1:15" x14ac:dyDescent="0.2">
      <c r="A100" s="6">
        <v>99</v>
      </c>
      <c r="B100" t="s">
        <v>186</v>
      </c>
      <c r="C100" t="s">
        <v>193</v>
      </c>
      <c r="D100" t="s">
        <v>192</v>
      </c>
      <c r="E100" s="6" t="s">
        <v>221</v>
      </c>
      <c r="F100">
        <v>2015</v>
      </c>
      <c r="G100" t="s">
        <v>289</v>
      </c>
      <c r="H100" t="s">
        <v>209</v>
      </c>
      <c r="I100" s="2">
        <v>1.4999999999999999E-2</v>
      </c>
      <c r="J100" t="s">
        <v>209</v>
      </c>
      <c r="K100" s="9">
        <f t="shared" si="2"/>
        <v>1.4999999999999999E-2</v>
      </c>
      <c r="L100" s="13" t="s">
        <v>259</v>
      </c>
      <c r="M100" s="10" t="s">
        <v>255</v>
      </c>
      <c r="O100" t="s">
        <v>233</v>
      </c>
    </row>
    <row r="101" spans="1:15" x14ac:dyDescent="0.2">
      <c r="A101" s="6">
        <v>100</v>
      </c>
      <c r="B101" t="s">
        <v>189</v>
      </c>
      <c r="C101" t="s">
        <v>44</v>
      </c>
      <c r="D101" t="s">
        <v>9</v>
      </c>
      <c r="E101" s="6" t="s">
        <v>221</v>
      </c>
      <c r="F101">
        <v>2015</v>
      </c>
      <c r="G101" t="s">
        <v>289</v>
      </c>
      <c r="H101" t="s">
        <v>1</v>
      </c>
      <c r="I101" s="2">
        <v>2.5559999999999999E-2</v>
      </c>
      <c r="J101" t="s">
        <v>207</v>
      </c>
      <c r="K101" s="9">
        <f t="shared" si="2"/>
        <v>2.5559999999999999E-2</v>
      </c>
      <c r="L101" s="13" t="s">
        <v>259</v>
      </c>
      <c r="M101" s="10"/>
      <c r="N101" s="10" t="s">
        <v>271</v>
      </c>
      <c r="O101" t="s">
        <v>233</v>
      </c>
    </row>
    <row r="102" spans="1:15" x14ac:dyDescent="0.2">
      <c r="A102" s="6">
        <v>101</v>
      </c>
      <c r="B102" t="s">
        <v>190</v>
      </c>
      <c r="C102" t="s">
        <v>44</v>
      </c>
      <c r="D102" t="s">
        <v>9</v>
      </c>
      <c r="E102" s="6" t="s">
        <v>221</v>
      </c>
      <c r="F102">
        <v>2015</v>
      </c>
      <c r="G102" t="s">
        <v>289</v>
      </c>
      <c r="H102" t="s">
        <v>1</v>
      </c>
      <c r="I102" s="2">
        <v>2.4E-2</v>
      </c>
      <c r="J102" t="s">
        <v>207</v>
      </c>
      <c r="K102" s="9">
        <f t="shared" si="2"/>
        <v>2.4E-2</v>
      </c>
      <c r="L102" s="13" t="s">
        <v>259</v>
      </c>
      <c r="M102" s="10"/>
      <c r="N102" s="10" t="s">
        <v>271</v>
      </c>
      <c r="O102" t="s">
        <v>233</v>
      </c>
    </row>
    <row r="103" spans="1:15" x14ac:dyDescent="0.2">
      <c r="A103" s="6">
        <v>102</v>
      </c>
      <c r="B103" t="s">
        <v>195</v>
      </c>
      <c r="C103" t="s">
        <v>44</v>
      </c>
      <c r="D103" t="s">
        <v>9</v>
      </c>
      <c r="E103" s="6" t="s">
        <v>221</v>
      </c>
      <c r="F103">
        <v>2015</v>
      </c>
      <c r="G103" t="s">
        <v>289</v>
      </c>
      <c r="H103" t="s">
        <v>1</v>
      </c>
      <c r="I103" s="2">
        <v>2.6040000000000001E-2</v>
      </c>
      <c r="J103" t="s">
        <v>207</v>
      </c>
      <c r="K103" s="9">
        <f t="shared" si="2"/>
        <v>2.6040000000000001E-2</v>
      </c>
      <c r="L103" s="13" t="s">
        <v>259</v>
      </c>
      <c r="M103" s="10"/>
      <c r="N103" s="10" t="s">
        <v>271</v>
      </c>
      <c r="O103" t="s">
        <v>233</v>
      </c>
    </row>
    <row r="104" spans="1:15" x14ac:dyDescent="0.2">
      <c r="A104" s="6">
        <v>103</v>
      </c>
      <c r="B104" t="s">
        <v>216</v>
      </c>
      <c r="C104" t="s">
        <v>44</v>
      </c>
      <c r="D104" t="s">
        <v>9</v>
      </c>
      <c r="E104" s="6" t="s">
        <v>221</v>
      </c>
      <c r="F104">
        <v>2015</v>
      </c>
      <c r="G104" t="s">
        <v>289</v>
      </c>
      <c r="H104" t="s">
        <v>1</v>
      </c>
      <c r="I104" s="2">
        <v>1.0800000000000001E-2</v>
      </c>
      <c r="J104" t="s">
        <v>207</v>
      </c>
      <c r="K104" s="9">
        <f t="shared" si="2"/>
        <v>1.0800000000000001E-2</v>
      </c>
      <c r="L104" s="13" t="s">
        <v>259</v>
      </c>
      <c r="M104" s="10"/>
      <c r="N104" s="10" t="s">
        <v>271</v>
      </c>
      <c r="O104" t="s">
        <v>233</v>
      </c>
    </row>
    <row r="105" spans="1:15" x14ac:dyDescent="0.2">
      <c r="A105" s="6">
        <v>104</v>
      </c>
      <c r="B105" t="s">
        <v>217</v>
      </c>
      <c r="C105" t="s">
        <v>44</v>
      </c>
      <c r="D105" t="s">
        <v>9</v>
      </c>
      <c r="E105" s="6" t="s">
        <v>221</v>
      </c>
      <c r="F105">
        <v>2015</v>
      </c>
      <c r="G105" t="s">
        <v>289</v>
      </c>
      <c r="H105" t="s">
        <v>1</v>
      </c>
      <c r="I105" s="2">
        <v>5.8199999999999988E-2</v>
      </c>
      <c r="J105" t="s">
        <v>207</v>
      </c>
      <c r="K105" s="9">
        <f t="shared" si="2"/>
        <v>5.8199999999999988E-2</v>
      </c>
      <c r="L105" s="13" t="s">
        <v>259</v>
      </c>
      <c r="M105" s="10"/>
      <c r="N105" s="10" t="s">
        <v>271</v>
      </c>
      <c r="O105" t="s">
        <v>233</v>
      </c>
    </row>
    <row r="106" spans="1:15" x14ac:dyDescent="0.2">
      <c r="A106" s="6">
        <v>105</v>
      </c>
      <c r="B106" t="s">
        <v>218</v>
      </c>
      <c r="C106" t="s">
        <v>44</v>
      </c>
      <c r="D106" t="s">
        <v>9</v>
      </c>
      <c r="E106" s="6" t="s">
        <v>221</v>
      </c>
      <c r="F106">
        <v>2015</v>
      </c>
      <c r="G106" t="s">
        <v>289</v>
      </c>
      <c r="H106" t="s">
        <v>1</v>
      </c>
      <c r="I106" s="2">
        <v>6.3E-2</v>
      </c>
      <c r="J106" t="s">
        <v>207</v>
      </c>
      <c r="K106" s="9">
        <f t="shared" si="2"/>
        <v>6.3E-2</v>
      </c>
      <c r="L106" s="13" t="s">
        <v>259</v>
      </c>
      <c r="M106" s="10"/>
      <c r="N106" s="10" t="s">
        <v>271</v>
      </c>
      <c r="O106" t="s">
        <v>233</v>
      </c>
    </row>
  </sheetData>
  <autoFilter ref="B1:Q106" xr:uid="{BD289C1D-C2AD-DC45-B403-2D61E72EBB77}">
    <sortState xmlns:xlrd2="http://schemas.microsoft.com/office/spreadsheetml/2017/richdata2" ref="B2:Q106">
      <sortCondition ref="B1:B106"/>
    </sortState>
  </autoFilter>
  <phoneticPr fontId="3" type="noConversion"/>
  <hyperlinks>
    <hyperlink ref="C33" r:id="rId1" xr:uid="{AA2438F3-24DE-D54C-9DB1-A404474FE9C5}"/>
    <hyperlink ref="C19" r:id="rId2" xr:uid="{50DB39ED-B4E3-EA42-B911-0289C9A606F5}"/>
    <hyperlink ref="C42" r:id="rId3" xr:uid="{88AA188D-5E2E-DF43-98DD-4FB843BB8A01}"/>
    <hyperlink ref="C80" r:id="rId4" xr:uid="{3B345E3D-E1D6-914B-B087-560179D55FB7}"/>
    <hyperlink ref="C81" r:id="rId5" xr:uid="{B5E24ADE-5531-4A40-BC37-2F4861E69521}"/>
    <hyperlink ref="C82" r:id="rId6" xr:uid="{60A2700B-D714-014C-87F3-7F0A9E1F3B86}"/>
    <hyperlink ref="C93" r:id="rId7" xr:uid="{8756E1EA-98E2-6A4F-AC36-B7DCF236FFE5}"/>
    <hyperlink ref="C104:C105" r:id="rId8" display="https://www.researchgate.net/publication/363946164_Cost-Benefit_Analysis_of_Building_Information_Modeling_Implementation_in_Construction_Projects_Evidence_from_Iran" xr:uid="{D0AA6303-87C3-C44D-9AB9-6322FDCDB3F9}"/>
    <hyperlink ref="C25" r:id="rId9" xr:uid="{51C11EB0-92BB-384E-873B-E880FA10D42A}"/>
    <hyperlink ref="C13" r:id="rId10" xr:uid="{BF16DB0E-62B3-2F4A-9F77-D6BBFEA9D761}"/>
    <hyperlink ref="O56" r:id="rId11" xr:uid="{73323CCD-F46F-E841-B957-511BA551230B}"/>
    <hyperlink ref="O20" r:id="rId12" xr:uid="{262EA369-B00A-634C-9564-1F482AE04233}"/>
    <hyperlink ref="O30" r:id="rId13" xr:uid="{BA673F50-454A-6045-80A9-80204D483C5D}"/>
    <hyperlink ref="O31" r:id="rId14" xr:uid="{6BB9A976-DE4D-2D46-A4DE-F221BAE36AD0}"/>
    <hyperlink ref="O70" r:id="rId15" xr:uid="{0C40B460-2CE9-EF4C-B3C5-37C556E96577}"/>
    <hyperlink ref="O29" r:id="rId16" xr:uid="{1F4B7332-2654-314D-9F81-20174033414F}"/>
    <hyperlink ref="O68" r:id="rId17" xr:uid="{565BC352-BCD0-FB42-BFF6-4DB147C99501}"/>
    <hyperlink ref="O53" r:id="rId18" xr:uid="{D8BC8FFA-8734-6B41-A69D-CAFB4539F8E0}"/>
    <hyperlink ref="O41" r:id="rId19" xr:uid="{95409823-A3B4-1F4E-9D0E-1D033B3ED01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Ясин</dc:creator>
  <cp:lastModifiedBy>Артём Ясин</cp:lastModifiedBy>
  <dcterms:created xsi:type="dcterms:W3CDTF">2025-11-22T12:18:39Z</dcterms:created>
  <dcterms:modified xsi:type="dcterms:W3CDTF">2025-11-28T13:00:58Z</dcterms:modified>
</cp:coreProperties>
</file>