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emminigalimov/Desktop/Обучение/Fudan University/Thesis/Data/Thesis/"/>
    </mc:Choice>
  </mc:AlternateContent>
  <xr:revisionPtr revIDLastSave="0" documentId="13_ncr:1_{6ABFEF44-4076-6647-A79C-4529C4044D1D}" xr6:coauthVersionLast="47" xr6:coauthVersionMax="47" xr10:uidLastSave="{00000000-0000-0000-0000-000000000000}"/>
  <bookViews>
    <workbookView xWindow="60" yWindow="760" windowWidth="20740" windowHeight="17480" xr2:uid="{7945F37F-2B75-FA45-9530-F1335AC7BD1A}"/>
  </bookViews>
  <sheets>
    <sheet name="Dataset 3" sheetId="1" r:id="rId1"/>
  </sheets>
  <definedNames>
    <definedName name="_xlnm._FilterDatabase" localSheetId="0" hidden="1">'Dataset 3'!$A$1:$P$193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3" i="1" l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0" i="1"/>
  <c r="I67" i="1"/>
  <c r="I83" i="1"/>
  <c r="I82" i="1"/>
  <c r="I81" i="1"/>
  <c r="I79" i="1"/>
  <c r="I78" i="1"/>
  <c r="I77" i="1"/>
  <c r="I76" i="1"/>
  <c r="I75" i="1"/>
  <c r="I74" i="1"/>
  <c r="I73" i="1"/>
  <c r="I72" i="1"/>
  <c r="I71" i="1"/>
  <c r="I70" i="1"/>
  <c r="I69" i="1"/>
  <c r="I68" i="1"/>
  <c r="I66" i="1"/>
  <c r="I65" i="1"/>
  <c r="I64" i="1"/>
  <c r="I63" i="1"/>
  <c r="I62" i="1"/>
  <c r="I61" i="1"/>
  <c r="I60" i="1"/>
  <c r="I59" i="1"/>
  <c r="I44" i="1"/>
  <c r="I55" i="1"/>
  <c r="I49" i="1"/>
  <c r="I43" i="1"/>
  <c r="I58" i="1"/>
  <c r="I57" i="1"/>
  <c r="I56" i="1"/>
  <c r="I54" i="1"/>
  <c r="I53" i="1"/>
  <c r="I52" i="1"/>
  <c r="I51" i="1"/>
  <c r="I50" i="1"/>
  <c r="I48" i="1"/>
  <c r="I47" i="1"/>
  <c r="I46" i="1"/>
  <c r="I45" i="1"/>
  <c r="I42" i="1"/>
  <c r="I41" i="1"/>
  <c r="I40" i="1"/>
  <c r="I39" i="1"/>
  <c r="I38" i="1"/>
  <c r="I37" i="1"/>
  <c r="I34" i="1"/>
  <c r="I33" i="1"/>
  <c r="I32" i="1"/>
  <c r="I13" i="1"/>
  <c r="I31" i="1"/>
  <c r="I8" i="1"/>
  <c r="I26" i="1"/>
  <c r="I36" i="1"/>
  <c r="I35" i="1"/>
  <c r="I30" i="1"/>
  <c r="I29" i="1"/>
  <c r="I28" i="1"/>
  <c r="I27" i="1"/>
  <c r="I25" i="1"/>
  <c r="I23" i="1"/>
  <c r="I22" i="1"/>
  <c r="I21" i="1"/>
  <c r="I20" i="1"/>
  <c r="I18" i="1"/>
  <c r="I19" i="1"/>
  <c r="G19" i="1"/>
  <c r="I17" i="1"/>
  <c r="I12" i="1"/>
  <c r="I11" i="1"/>
  <c r="I10" i="1"/>
  <c r="I9" i="1"/>
  <c r="I7" i="1"/>
  <c r="I5" i="1"/>
  <c r="I4" i="1"/>
  <c r="I3" i="1"/>
  <c r="I2" i="1"/>
</calcChain>
</file>

<file path=xl/sharedStrings.xml><?xml version="1.0" encoding="utf-8"?>
<sst xmlns="http://schemas.openxmlformats.org/spreadsheetml/2006/main" count="1730" uniqueCount="94">
  <si>
    <t>№</t>
  </si>
  <si>
    <t>Company</t>
  </si>
  <si>
    <t>Stage</t>
  </si>
  <si>
    <t>Effects per project</t>
  </si>
  <si>
    <t>Estimation</t>
  </si>
  <si>
    <t>Unified metric</t>
  </si>
  <si>
    <t>DCF influence</t>
  </si>
  <si>
    <t>Comment</t>
  </si>
  <si>
    <t>LLC Sarex</t>
  </si>
  <si>
    <t>LLC DCS</t>
  </si>
  <si>
    <t>LLC Pragmacore</t>
  </si>
  <si>
    <t>LLC SIGNAL</t>
  </si>
  <si>
    <t>LLC TANGL</t>
  </si>
  <si>
    <t>Country</t>
  </si>
  <si>
    <t>Russia</t>
  </si>
  <si>
    <t>C0001</t>
  </si>
  <si>
    <t>C0002</t>
  </si>
  <si>
    <t>C0003</t>
  </si>
  <si>
    <t>C0004</t>
  </si>
  <si>
    <t>C0005</t>
  </si>
  <si>
    <t>C0006</t>
  </si>
  <si>
    <t>Gazprom neft</t>
  </si>
  <si>
    <t>ASCON Group</t>
  </si>
  <si>
    <t>LLC Renga Software</t>
  </si>
  <si>
    <t>C0007</t>
  </si>
  <si>
    <t>C0009</t>
  </si>
  <si>
    <t>LLC PSS. Digital solutions</t>
  </si>
  <si>
    <t>C0011</t>
  </si>
  <si>
    <t>ROI</t>
  </si>
  <si>
    <t>Reduction in number of RFI</t>
  </si>
  <si>
    <t>Reduction in number of Request of information</t>
  </si>
  <si>
    <t xml:space="preserve">Reduction in the construction schedule </t>
  </si>
  <si>
    <t>Increase in productivity</t>
  </si>
  <si>
    <t>Reduction in the cost of the rework</t>
  </si>
  <si>
    <t>Reduction of rework costs</t>
  </si>
  <si>
    <t>Reduction in the number of the design errors</t>
  </si>
  <si>
    <t>Reduction in the overrun of the total project construction value</t>
  </si>
  <si>
    <t>Cost saving from identifying clash detection</t>
  </si>
  <si>
    <t>Cost saving in material ordering processes</t>
  </si>
  <si>
    <t>Reduction in the amount of unnecessary material expanses</t>
  </si>
  <si>
    <t>Reduction in the number of losses of the inventory</t>
  </si>
  <si>
    <t>Reduction of budget overrun of total project value</t>
  </si>
  <si>
    <t>Reduction of error in stock management</t>
  </si>
  <si>
    <t>Reduction of logistics costs</t>
  </si>
  <si>
    <t>Reduction in the total project construction value</t>
  </si>
  <si>
    <t>Savings in material procurement</t>
  </si>
  <si>
    <t>Reduction in time of the construction schedule delay</t>
  </si>
  <si>
    <t xml:space="preserve">Reduction in time of the schedule delay </t>
  </si>
  <si>
    <t>Return on investments (1)</t>
  </si>
  <si>
    <t>Reduction in the number of changes of orders</t>
  </si>
  <si>
    <t>Reduction in time to complete the design stage</t>
  </si>
  <si>
    <t>Improvement in coordination between different departments</t>
  </si>
  <si>
    <t>Increase in finding and sharing asset information</t>
  </si>
  <si>
    <t>Reduction of facility managment expenditures</t>
  </si>
  <si>
    <t>A RFI is a formal written process in which parties clarify information gaps in construction documents (McGraw-Hill, 2008). Incomplete, unclear or outdated technical specifications, and the lack of buildability result in continuous RFIs thereby, interruptions to the work progress (Jarkas and Bitar, 2012; Rivas et al., 2011; Hasan et al., 2018). This creates friction between the architect/engineers and the contractor</t>
  </si>
  <si>
    <t>The time, which is needed for the constraction, can decrease due to BIM</t>
  </si>
  <si>
    <t>Calculations</t>
  </si>
  <si>
    <t>1:1</t>
  </si>
  <si>
    <t xml:space="preserve">Construction stage_CAPEX </t>
  </si>
  <si>
    <t>12,8% of CAPEX is change of orders, change of orders leads to rework in 1:0,8_CAPEX reduction</t>
  </si>
  <si>
    <t>Construction stage_CAPEX overrun</t>
  </si>
  <si>
    <t>Assume that material ordering process is 0,5% of the CAPEX</t>
  </si>
  <si>
    <t>12,8% of CAPEX is change of orders, change of orders leads to rework in 1:0,2_CAPEX reduction</t>
  </si>
  <si>
    <t>Construction stage schedule</t>
  </si>
  <si>
    <t>1,6% of CAPEX is RFI_CAPEX reduction</t>
  </si>
  <si>
    <t>Assumption</t>
  </si>
  <si>
    <t>Assume that 20% of CAPEX is material, 0,5% is loss of the inventory</t>
  </si>
  <si>
    <t>Construction stage schedule_delay</t>
  </si>
  <si>
    <t>Assume that ligistics costs is 10% of the CAPEX</t>
  </si>
  <si>
    <t>Net BIM savings / Cost of BIM</t>
  </si>
  <si>
    <t>Design stage_CAPEX</t>
  </si>
  <si>
    <t>Assumption: 10% of design budget is the amount on the coordination</t>
  </si>
  <si>
    <t>Design stage schedule</t>
  </si>
  <si>
    <t>12,8% of CAPEX is change of orders and on the design stage CoO is 1:0,2_CAPEX reduction</t>
  </si>
  <si>
    <t>Maintenance obligations</t>
  </si>
  <si>
    <t>Annual reduction in maintance expenditures</t>
  </si>
  <si>
    <t xml:space="preserve">Annual reduction in salary  expenditures </t>
  </si>
  <si>
    <t xml:space="preserve">15% of working time is wasted time </t>
  </si>
  <si>
    <t>Salary</t>
  </si>
  <si>
    <t>Annual reduction in salary  expenditures</t>
  </si>
  <si>
    <t>20% of working time is searching info</t>
  </si>
  <si>
    <t>30% of the maintenance is connected with materials</t>
  </si>
  <si>
    <t>Due to the change of order rework needs to be done</t>
  </si>
  <si>
    <t>(пусто)</t>
  </si>
  <si>
    <t>The delay can be avoided due to the use of BIM</t>
  </si>
  <si>
    <t>A change order is usually the result of an owner-initiated change in the scope or time frame of a project, unforeseen conditions that require change, or a design error/omission that results in change</t>
  </si>
  <si>
    <t>Reduction of the number of the design errors on the design stage</t>
  </si>
  <si>
    <t> fewer hours spent on drawing production</t>
  </si>
  <si>
    <t>Not cumulative / American Productivity &amp; Quality Center (APQC) and other studies often find that knowledge workers can spend 15-20% of their time</t>
  </si>
  <si>
    <t>Score to the unified metric</t>
  </si>
  <si>
    <t>ID</t>
  </si>
  <si>
    <t>2_Construction</t>
  </si>
  <si>
    <t>1_Design</t>
  </si>
  <si>
    <t>3_Operation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</si>
</sst>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0" fontId="3" fillId="0" borderId="0" xfId="0" applyFont="1"/>
    <xf numFmtId="9" fontId="3" fillId="0" borderId="0" xfId="1" applyFont="1"/>
    <xf numFmtId="10" fontId="0" fillId="0" borderId="0" xfId="1" applyNumberFormat="1" applyFont="1"/>
    <xf numFmtId="10" fontId="3" fillId="0" borderId="0" xfId="1" applyNumberFormat="1" applyFont="1"/>
    <xf numFmtId="0" fontId="4" fillId="0" borderId="0" xfId="0" applyFont="1" applyAlignment="1">
      <alignment horizontal="center"/>
    </xf>
    <xf numFmtId="10" fontId="4" fillId="0" borderId="0" xfId="1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9" fontId="4" fillId="0" borderId="0" xfId="1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6AA1-E1D2-494A-9F75-0BA9C35C4DE7}">
  <dimension ref="A1:P193"/>
  <sheetViews>
    <sheetView tabSelected="1" topLeftCell="B1" zoomScale="75" workbookViewId="0">
      <selection activeCell="K79" sqref="K79"/>
    </sheetView>
  </sheetViews>
  <sheetFormatPr baseColWidth="10" defaultRowHeight="16" x14ac:dyDescent="0.2"/>
  <cols>
    <col min="1" max="1" width="4.33203125" bestFit="1" customWidth="1"/>
    <col min="5" max="5" width="13.83203125" bestFit="1" customWidth="1"/>
    <col min="6" max="6" width="44.83203125" customWidth="1"/>
    <col min="7" max="7" width="9.6640625" style="4" customWidth="1"/>
    <col min="8" max="8" width="39.83203125" customWidth="1"/>
    <col min="9" max="9" width="10.83203125" style="4"/>
    <col min="10" max="10" width="9.6640625" customWidth="1"/>
    <col min="11" max="11" width="30" bestFit="1" customWidth="1"/>
    <col min="12" max="13" width="9.6640625" customWidth="1"/>
    <col min="14" max="15" width="10.83203125" style="1"/>
    <col min="16" max="16" width="39.83203125" customWidth="1"/>
  </cols>
  <sheetData>
    <row r="1" spans="1:16" s="6" customFormat="1" x14ac:dyDescent="0.2">
      <c r="A1" s="6" t="s">
        <v>0</v>
      </c>
      <c r="B1" s="6" t="s">
        <v>90</v>
      </c>
      <c r="C1" s="6" t="s">
        <v>1</v>
      </c>
      <c r="D1" s="6" t="s">
        <v>13</v>
      </c>
      <c r="E1" s="6" t="s">
        <v>2</v>
      </c>
      <c r="F1" s="6" t="s">
        <v>3</v>
      </c>
      <c r="G1" s="7" t="s">
        <v>4</v>
      </c>
      <c r="H1" s="6" t="s">
        <v>5</v>
      </c>
      <c r="I1" s="7" t="s">
        <v>89</v>
      </c>
      <c r="J1" s="8" t="s">
        <v>56</v>
      </c>
      <c r="K1" s="6" t="s">
        <v>6</v>
      </c>
      <c r="L1" s="6" t="s">
        <v>7</v>
      </c>
      <c r="N1" s="9"/>
      <c r="O1" s="9"/>
    </row>
    <row r="2" spans="1:16" x14ac:dyDescent="0.2">
      <c r="A2">
        <v>1</v>
      </c>
      <c r="B2" t="s">
        <v>17</v>
      </c>
      <c r="C2" t="s">
        <v>10</v>
      </c>
      <c r="D2" t="s">
        <v>14</v>
      </c>
      <c r="E2" s="2" t="s">
        <v>92</v>
      </c>
      <c r="F2" s="2" t="s">
        <v>30</v>
      </c>
      <c r="G2" s="5">
        <v>0.1</v>
      </c>
      <c r="H2" s="2" t="s">
        <v>29</v>
      </c>
      <c r="I2" s="5">
        <f>1.6%*G2</f>
        <v>1.6000000000000001E-3</v>
      </c>
      <c r="J2" s="2" t="s">
        <v>64</v>
      </c>
      <c r="K2" s="2" t="s">
        <v>58</v>
      </c>
      <c r="L2" s="2" t="s">
        <v>54</v>
      </c>
      <c r="M2" s="2"/>
      <c r="N2" s="2"/>
      <c r="P2" s="2"/>
    </row>
    <row r="3" spans="1:16" x14ac:dyDescent="0.2">
      <c r="A3">
        <v>2</v>
      </c>
      <c r="B3" t="s">
        <v>17</v>
      </c>
      <c r="C3" t="s">
        <v>10</v>
      </c>
      <c r="D3" t="s">
        <v>14</v>
      </c>
      <c r="E3" s="2" t="s">
        <v>92</v>
      </c>
      <c r="F3" s="2" t="s">
        <v>49</v>
      </c>
      <c r="G3" s="5">
        <v>0.125</v>
      </c>
      <c r="H3" s="2" t="s">
        <v>49</v>
      </c>
      <c r="I3" s="5">
        <f>G3*12.8%*0.2</f>
        <v>3.2000000000000002E-3</v>
      </c>
      <c r="J3" s="2" t="s">
        <v>73</v>
      </c>
      <c r="K3" s="2" t="s">
        <v>70</v>
      </c>
      <c r="L3" s="2" t="s">
        <v>85</v>
      </c>
      <c r="M3" s="2"/>
      <c r="N3" s="2"/>
      <c r="P3" s="2"/>
    </row>
    <row r="4" spans="1:16" x14ac:dyDescent="0.2">
      <c r="A4">
        <v>3</v>
      </c>
      <c r="B4" t="s">
        <v>17</v>
      </c>
      <c r="C4" t="s">
        <v>10</v>
      </c>
      <c r="D4" t="s">
        <v>14</v>
      </c>
      <c r="E4" s="2" t="s">
        <v>92</v>
      </c>
      <c r="F4" s="2" t="s">
        <v>35</v>
      </c>
      <c r="G4" s="5">
        <v>0.85</v>
      </c>
      <c r="H4" s="2" t="s">
        <v>35</v>
      </c>
      <c r="I4" s="5">
        <f>G4*12.8%*0.2</f>
        <v>2.1760000000000002E-2</v>
      </c>
      <c r="J4" s="2" t="s">
        <v>62</v>
      </c>
      <c r="K4" s="2" t="s">
        <v>70</v>
      </c>
      <c r="L4" s="2" t="s">
        <v>86</v>
      </c>
      <c r="M4" s="2"/>
      <c r="N4" s="2"/>
      <c r="P4" s="2"/>
    </row>
    <row r="5" spans="1:16" x14ac:dyDescent="0.2">
      <c r="A5">
        <v>4</v>
      </c>
      <c r="B5" t="s">
        <v>17</v>
      </c>
      <c r="C5" t="s">
        <v>10</v>
      </c>
      <c r="D5" t="s">
        <v>14</v>
      </c>
      <c r="E5" s="2" t="s">
        <v>92</v>
      </c>
      <c r="F5" s="2" t="s">
        <v>51</v>
      </c>
      <c r="G5" s="5">
        <v>0.3</v>
      </c>
      <c r="H5" s="2" t="s">
        <v>50</v>
      </c>
      <c r="I5" s="5">
        <f>10%*G5</f>
        <v>0.03</v>
      </c>
      <c r="J5" s="2" t="s">
        <v>71</v>
      </c>
      <c r="K5" s="2" t="s">
        <v>72</v>
      </c>
      <c r="L5" s="2" t="s">
        <v>87</v>
      </c>
      <c r="M5" s="2"/>
      <c r="N5" s="2"/>
      <c r="P5" s="2"/>
    </row>
    <row r="6" spans="1:16" x14ac:dyDescent="0.2">
      <c r="A6">
        <v>5</v>
      </c>
      <c r="B6" t="s">
        <v>17</v>
      </c>
      <c r="C6" t="s">
        <v>10</v>
      </c>
      <c r="D6" t="s">
        <v>14</v>
      </c>
      <c r="E6" s="2" t="s">
        <v>92</v>
      </c>
      <c r="F6" s="2" t="s">
        <v>32</v>
      </c>
      <c r="G6" s="5">
        <v>0.45</v>
      </c>
      <c r="H6" s="2" t="s">
        <v>50</v>
      </c>
      <c r="I6" s="5">
        <v>0.45</v>
      </c>
      <c r="J6" s="2" t="s">
        <v>57</v>
      </c>
      <c r="K6" s="2" t="s">
        <v>72</v>
      </c>
      <c r="L6" s="2" t="s">
        <v>87</v>
      </c>
      <c r="M6" s="2"/>
      <c r="N6" s="2"/>
      <c r="P6" s="2"/>
    </row>
    <row r="7" spans="1:16" x14ac:dyDescent="0.2">
      <c r="A7">
        <v>6</v>
      </c>
      <c r="B7" t="s">
        <v>17</v>
      </c>
      <c r="C7" t="s">
        <v>10</v>
      </c>
      <c r="D7" t="s">
        <v>14</v>
      </c>
      <c r="E7" s="2" t="s">
        <v>91</v>
      </c>
      <c r="F7" s="2" t="s">
        <v>30</v>
      </c>
      <c r="G7" s="5">
        <v>0.5</v>
      </c>
      <c r="H7" s="2" t="s">
        <v>29</v>
      </c>
      <c r="I7" s="5">
        <f>G7*1.6%</f>
        <v>8.0000000000000002E-3</v>
      </c>
      <c r="J7" s="2" t="s">
        <v>64</v>
      </c>
      <c r="K7" s="2" t="s">
        <v>58</v>
      </c>
      <c r="L7" s="2" t="s">
        <v>54</v>
      </c>
      <c r="M7" s="2"/>
      <c r="N7" s="2"/>
      <c r="P7" s="2"/>
    </row>
    <row r="8" spans="1:16" x14ac:dyDescent="0.2">
      <c r="A8">
        <v>7</v>
      </c>
      <c r="B8" t="s">
        <v>17</v>
      </c>
      <c r="C8" t="s">
        <v>10</v>
      </c>
      <c r="D8" t="s">
        <v>14</v>
      </c>
      <c r="E8" s="2" t="s">
        <v>91</v>
      </c>
      <c r="F8" s="2" t="s">
        <v>32</v>
      </c>
      <c r="G8" s="5">
        <v>7.0000000000000007E-2</v>
      </c>
      <c r="H8" s="2" t="s">
        <v>31</v>
      </c>
      <c r="I8" s="5">
        <f>G8</f>
        <v>7.0000000000000007E-2</v>
      </c>
      <c r="J8" s="2" t="s">
        <v>57</v>
      </c>
      <c r="K8" s="2" t="s">
        <v>63</v>
      </c>
      <c r="L8" s="2" t="s">
        <v>55</v>
      </c>
      <c r="M8" s="2"/>
      <c r="N8" s="2"/>
      <c r="P8" s="2"/>
    </row>
    <row r="9" spans="1:16" x14ac:dyDescent="0.2">
      <c r="A9">
        <v>8</v>
      </c>
      <c r="B9" t="s">
        <v>17</v>
      </c>
      <c r="C9" t="s">
        <v>10</v>
      </c>
      <c r="D9" t="s">
        <v>14</v>
      </c>
      <c r="E9" s="2" t="s">
        <v>91</v>
      </c>
      <c r="F9" s="2" t="s">
        <v>35</v>
      </c>
      <c r="G9" s="5">
        <v>0.35</v>
      </c>
      <c r="H9" s="2" t="s">
        <v>35</v>
      </c>
      <c r="I9" s="5">
        <f>G9*12.8%*0.2</f>
        <v>8.9600000000000009E-3</v>
      </c>
      <c r="J9" s="2" t="s">
        <v>62</v>
      </c>
      <c r="K9" s="2" t="s">
        <v>58</v>
      </c>
      <c r="L9" s="2" t="s">
        <v>83</v>
      </c>
      <c r="M9" s="2"/>
      <c r="N9" s="2"/>
      <c r="P9" s="2"/>
    </row>
    <row r="10" spans="1:16" x14ac:dyDescent="0.2">
      <c r="A10">
        <v>9</v>
      </c>
      <c r="B10" t="s">
        <v>17</v>
      </c>
      <c r="C10" t="s">
        <v>10</v>
      </c>
      <c r="D10" t="s">
        <v>14</v>
      </c>
      <c r="E10" s="2" t="s">
        <v>91</v>
      </c>
      <c r="F10" s="2" t="s">
        <v>37</v>
      </c>
      <c r="G10" s="5">
        <v>0.05</v>
      </c>
      <c r="H10" s="2" t="s">
        <v>36</v>
      </c>
      <c r="I10" s="5">
        <f>G10*12.8%*0.8</f>
        <v>5.1200000000000004E-3</v>
      </c>
      <c r="J10" s="2" t="s">
        <v>59</v>
      </c>
      <c r="K10" s="2" t="s">
        <v>60</v>
      </c>
      <c r="L10" s="2" t="s">
        <v>83</v>
      </c>
      <c r="M10" s="2"/>
      <c r="N10" s="2"/>
      <c r="P10" s="2"/>
    </row>
    <row r="11" spans="1:16" x14ac:dyDescent="0.2">
      <c r="A11">
        <v>10</v>
      </c>
      <c r="B11" t="s">
        <v>17</v>
      </c>
      <c r="C11" t="s">
        <v>10</v>
      </c>
      <c r="D11" t="s">
        <v>14</v>
      </c>
      <c r="E11" s="2" t="s">
        <v>91</v>
      </c>
      <c r="F11" s="2" t="s">
        <v>38</v>
      </c>
      <c r="G11" s="5">
        <v>0.15</v>
      </c>
      <c r="H11" s="2" t="s">
        <v>36</v>
      </c>
      <c r="I11" s="5">
        <f>G11*0.5%</f>
        <v>7.5000000000000002E-4</v>
      </c>
      <c r="J11" s="2" t="s">
        <v>61</v>
      </c>
      <c r="K11" s="2" t="s">
        <v>60</v>
      </c>
      <c r="L11" s="2" t="s">
        <v>83</v>
      </c>
      <c r="M11" s="2"/>
      <c r="N11" s="2"/>
      <c r="P11" s="2"/>
    </row>
    <row r="12" spans="1:16" x14ac:dyDescent="0.2">
      <c r="A12">
        <v>11</v>
      </c>
      <c r="B12" t="s">
        <v>17</v>
      </c>
      <c r="C12" t="s">
        <v>10</v>
      </c>
      <c r="D12" t="s">
        <v>14</v>
      </c>
      <c r="E12" s="2" t="s">
        <v>91</v>
      </c>
      <c r="F12" s="2" t="s">
        <v>39</v>
      </c>
      <c r="G12" s="5">
        <v>0.6</v>
      </c>
      <c r="H12" s="2" t="s">
        <v>36</v>
      </c>
      <c r="I12" s="5">
        <f>1%*G12</f>
        <v>6.0000000000000001E-3</v>
      </c>
      <c r="J12" s="2" t="s">
        <v>65</v>
      </c>
      <c r="K12" s="2" t="s">
        <v>60</v>
      </c>
      <c r="L12" s="2" t="s">
        <v>83</v>
      </c>
      <c r="M12" s="2"/>
      <c r="N12" s="2"/>
      <c r="P12" s="2"/>
    </row>
    <row r="13" spans="1:16" x14ac:dyDescent="0.2">
      <c r="A13">
        <v>12</v>
      </c>
      <c r="B13" t="s">
        <v>17</v>
      </c>
      <c r="C13" t="s">
        <v>10</v>
      </c>
      <c r="D13" t="s">
        <v>14</v>
      </c>
      <c r="E13" s="2" t="s">
        <v>91</v>
      </c>
      <c r="F13" s="2" t="s">
        <v>41</v>
      </c>
      <c r="G13" s="5">
        <v>0.1</v>
      </c>
      <c r="H13" s="2" t="s">
        <v>36</v>
      </c>
      <c r="I13" s="5">
        <f>G13</f>
        <v>0.1</v>
      </c>
      <c r="J13" s="2" t="s">
        <v>57</v>
      </c>
      <c r="K13" s="2" t="s">
        <v>60</v>
      </c>
      <c r="L13" s="2" t="s">
        <v>83</v>
      </c>
      <c r="M13" s="2"/>
      <c r="N13" s="2"/>
      <c r="P13" s="2"/>
    </row>
    <row r="14" spans="1:16" x14ac:dyDescent="0.2">
      <c r="A14">
        <v>13</v>
      </c>
      <c r="B14" t="s">
        <v>17</v>
      </c>
      <c r="C14" t="s">
        <v>10</v>
      </c>
      <c r="D14" t="s">
        <v>14</v>
      </c>
      <c r="E14" s="2" t="s">
        <v>91</v>
      </c>
      <c r="F14" s="2" t="s">
        <v>42</v>
      </c>
      <c r="G14" s="5">
        <v>0.25</v>
      </c>
      <c r="H14" s="2" t="s">
        <v>36</v>
      </c>
      <c r="I14" s="5">
        <v>5.0000000000000001E-3</v>
      </c>
      <c r="J14" s="2" t="s">
        <v>65</v>
      </c>
      <c r="K14" s="2" t="s">
        <v>60</v>
      </c>
      <c r="L14" s="2" t="s">
        <v>83</v>
      </c>
      <c r="M14" s="2"/>
      <c r="N14" s="2"/>
      <c r="P14" s="2"/>
    </row>
    <row r="15" spans="1:16" x14ac:dyDescent="0.2">
      <c r="A15">
        <v>14</v>
      </c>
      <c r="B15" t="s">
        <v>17</v>
      </c>
      <c r="C15" t="s">
        <v>10</v>
      </c>
      <c r="D15" t="s">
        <v>14</v>
      </c>
      <c r="E15" s="2" t="s">
        <v>91</v>
      </c>
      <c r="F15" s="2" t="s">
        <v>43</v>
      </c>
      <c r="G15" s="5">
        <v>0.18</v>
      </c>
      <c r="H15" s="2" t="s">
        <v>36</v>
      </c>
      <c r="I15" s="5">
        <v>1.7999999999999999E-2</v>
      </c>
      <c r="J15" s="2" t="s">
        <v>68</v>
      </c>
      <c r="K15" s="2" t="s">
        <v>58</v>
      </c>
      <c r="L15" s="2" t="s">
        <v>83</v>
      </c>
      <c r="M15" s="2"/>
      <c r="N15" s="2"/>
      <c r="P15" s="2"/>
    </row>
    <row r="16" spans="1:16" x14ac:dyDescent="0.2">
      <c r="A16">
        <v>15</v>
      </c>
      <c r="B16" t="s">
        <v>17</v>
      </c>
      <c r="C16" t="s">
        <v>10</v>
      </c>
      <c r="D16" t="s">
        <v>14</v>
      </c>
      <c r="E16" s="2" t="s">
        <v>91</v>
      </c>
      <c r="F16" s="2" t="s">
        <v>44</v>
      </c>
      <c r="G16" s="5">
        <v>0.08</v>
      </c>
      <c r="H16" s="2" t="s">
        <v>44</v>
      </c>
      <c r="I16" s="5">
        <v>0.08</v>
      </c>
      <c r="J16" s="2" t="s">
        <v>57</v>
      </c>
      <c r="K16" s="2" t="s">
        <v>58</v>
      </c>
      <c r="L16" s="2" t="s">
        <v>55</v>
      </c>
      <c r="M16" s="2"/>
      <c r="N16" s="2"/>
      <c r="P16" s="2"/>
    </row>
    <row r="17" spans="1:16" x14ac:dyDescent="0.2">
      <c r="A17">
        <v>16</v>
      </c>
      <c r="B17" t="s">
        <v>17</v>
      </c>
      <c r="C17" t="s">
        <v>10</v>
      </c>
      <c r="D17" t="s">
        <v>14</v>
      </c>
      <c r="E17" s="2" t="s">
        <v>91</v>
      </c>
      <c r="F17" s="2" t="s">
        <v>45</v>
      </c>
      <c r="G17" s="5">
        <v>0.25</v>
      </c>
      <c r="H17" s="2" t="s">
        <v>44</v>
      </c>
      <c r="I17" s="5">
        <f>10%*G17</f>
        <v>2.5000000000000001E-2</v>
      </c>
      <c r="J17" s="2" t="s">
        <v>65</v>
      </c>
      <c r="K17" s="2" t="s">
        <v>58</v>
      </c>
      <c r="L17" s="2" t="s">
        <v>83</v>
      </c>
      <c r="M17" s="2"/>
      <c r="N17" s="2"/>
      <c r="P17" s="2"/>
    </row>
    <row r="18" spans="1:16" x14ac:dyDescent="0.2">
      <c r="A18">
        <v>17</v>
      </c>
      <c r="B18" t="s">
        <v>17</v>
      </c>
      <c r="C18" t="s">
        <v>10</v>
      </c>
      <c r="D18" t="s">
        <v>14</v>
      </c>
      <c r="E18" s="2" t="s">
        <v>91</v>
      </c>
      <c r="F18" s="2" t="s">
        <v>47</v>
      </c>
      <c r="G18" s="5">
        <v>0.05</v>
      </c>
      <c r="H18" s="2" t="s">
        <v>46</v>
      </c>
      <c r="I18" s="5">
        <f>G18</f>
        <v>0.05</v>
      </c>
      <c r="J18" s="2" t="s">
        <v>57</v>
      </c>
      <c r="K18" s="2" t="s">
        <v>67</v>
      </c>
      <c r="L18" s="2" t="s">
        <v>84</v>
      </c>
      <c r="M18" s="2"/>
      <c r="N18" s="2"/>
      <c r="P18" s="2"/>
    </row>
    <row r="19" spans="1:16" x14ac:dyDescent="0.2">
      <c r="A19">
        <v>18</v>
      </c>
      <c r="B19" t="s">
        <v>17</v>
      </c>
      <c r="C19" t="s">
        <v>10</v>
      </c>
      <c r="D19" t="s">
        <v>14</v>
      </c>
      <c r="E19" s="2" t="s">
        <v>91</v>
      </c>
      <c r="F19" s="2" t="s">
        <v>28</v>
      </c>
      <c r="G19" s="3">
        <f>1080/1000</f>
        <v>1.08</v>
      </c>
      <c r="H19" s="2" t="s">
        <v>48</v>
      </c>
      <c r="I19" s="5">
        <f>1080/1000</f>
        <v>1.08</v>
      </c>
      <c r="J19" s="2" t="s">
        <v>57</v>
      </c>
      <c r="K19" s="2"/>
      <c r="L19" s="2" t="s">
        <v>69</v>
      </c>
      <c r="M19" s="2"/>
      <c r="N19" s="2"/>
      <c r="P19" s="2"/>
    </row>
    <row r="20" spans="1:16" x14ac:dyDescent="0.2">
      <c r="A20">
        <v>19</v>
      </c>
      <c r="B20" t="s">
        <v>15</v>
      </c>
      <c r="C20" t="s">
        <v>8</v>
      </c>
      <c r="D20" t="s">
        <v>14</v>
      </c>
      <c r="E20" s="2" t="s">
        <v>92</v>
      </c>
      <c r="F20" s="2" t="s">
        <v>30</v>
      </c>
      <c r="G20" s="5">
        <v>0.35</v>
      </c>
      <c r="H20" s="2" t="s">
        <v>29</v>
      </c>
      <c r="I20" s="5">
        <f>1.6%*G20</f>
        <v>5.5999999999999999E-3</v>
      </c>
      <c r="J20" s="2" t="s">
        <v>64</v>
      </c>
      <c r="K20" s="2" t="s">
        <v>58</v>
      </c>
      <c r="L20" s="2" t="s">
        <v>54</v>
      </c>
    </row>
    <row r="21" spans="1:16" x14ac:dyDescent="0.2">
      <c r="A21">
        <v>20</v>
      </c>
      <c r="B21" t="s">
        <v>15</v>
      </c>
      <c r="C21" t="s">
        <v>8</v>
      </c>
      <c r="D21" t="s">
        <v>14</v>
      </c>
      <c r="E21" s="2" t="s">
        <v>92</v>
      </c>
      <c r="F21" s="2" t="s">
        <v>49</v>
      </c>
      <c r="G21" s="5">
        <v>0.45</v>
      </c>
      <c r="H21" s="2" t="s">
        <v>49</v>
      </c>
      <c r="I21" s="5">
        <f>G21*12.8%*0.2</f>
        <v>1.1520000000000002E-2</v>
      </c>
      <c r="J21" s="2" t="s">
        <v>73</v>
      </c>
      <c r="K21" s="2" t="s">
        <v>70</v>
      </c>
      <c r="L21" s="2" t="s">
        <v>85</v>
      </c>
    </row>
    <row r="22" spans="1:16" x14ac:dyDescent="0.2">
      <c r="A22">
        <v>21</v>
      </c>
      <c r="B22" t="s">
        <v>15</v>
      </c>
      <c r="C22" t="s">
        <v>8</v>
      </c>
      <c r="D22" t="s">
        <v>14</v>
      </c>
      <c r="E22" s="2" t="s">
        <v>92</v>
      </c>
      <c r="F22" s="2" t="s">
        <v>35</v>
      </c>
      <c r="G22" s="5">
        <v>0.9</v>
      </c>
      <c r="H22" s="2" t="s">
        <v>35</v>
      </c>
      <c r="I22" s="5">
        <f>G22*12.8%*0.2</f>
        <v>2.3040000000000005E-2</v>
      </c>
      <c r="J22" s="2" t="s">
        <v>62</v>
      </c>
      <c r="K22" s="2" t="s">
        <v>70</v>
      </c>
      <c r="L22" s="2" t="s">
        <v>86</v>
      </c>
    </row>
    <row r="23" spans="1:16" x14ac:dyDescent="0.2">
      <c r="A23">
        <v>22</v>
      </c>
      <c r="B23" t="s">
        <v>15</v>
      </c>
      <c r="C23" t="s">
        <v>8</v>
      </c>
      <c r="D23" t="s">
        <v>14</v>
      </c>
      <c r="E23" s="2" t="s">
        <v>92</v>
      </c>
      <c r="F23" s="2" t="s">
        <v>51</v>
      </c>
      <c r="G23" s="5">
        <v>0.3</v>
      </c>
      <c r="H23" s="2" t="s">
        <v>50</v>
      </c>
      <c r="I23" s="5">
        <f>10%*G23</f>
        <v>0.03</v>
      </c>
      <c r="J23" s="2" t="s">
        <v>71</v>
      </c>
      <c r="K23" s="2" t="s">
        <v>72</v>
      </c>
      <c r="L23" s="2" t="s">
        <v>87</v>
      </c>
    </row>
    <row r="24" spans="1:16" x14ac:dyDescent="0.2">
      <c r="A24">
        <v>23</v>
      </c>
      <c r="B24" t="s">
        <v>15</v>
      </c>
      <c r="C24" t="s">
        <v>8</v>
      </c>
      <c r="D24" t="s">
        <v>14</v>
      </c>
      <c r="E24" s="2" t="s">
        <v>92</v>
      </c>
      <c r="F24" s="2" t="s">
        <v>32</v>
      </c>
      <c r="G24" s="5">
        <v>0.45</v>
      </c>
      <c r="H24" s="2" t="s">
        <v>50</v>
      </c>
      <c r="I24" s="5">
        <v>0.45</v>
      </c>
      <c r="J24" s="2" t="s">
        <v>57</v>
      </c>
      <c r="K24" s="2" t="s">
        <v>72</v>
      </c>
      <c r="L24" s="2" t="s">
        <v>87</v>
      </c>
    </row>
    <row r="25" spans="1:16" x14ac:dyDescent="0.2">
      <c r="A25">
        <v>24</v>
      </c>
      <c r="B25" t="s">
        <v>15</v>
      </c>
      <c r="C25" t="s">
        <v>8</v>
      </c>
      <c r="D25" t="s">
        <v>14</v>
      </c>
      <c r="E25" s="2" t="s">
        <v>91</v>
      </c>
      <c r="F25" s="2" t="s">
        <v>30</v>
      </c>
      <c r="G25" s="5">
        <v>0.75</v>
      </c>
      <c r="H25" s="2" t="s">
        <v>29</v>
      </c>
      <c r="I25" s="5">
        <f>G25*1.6%</f>
        <v>1.2E-2</v>
      </c>
      <c r="J25" s="2" t="s">
        <v>64</v>
      </c>
      <c r="K25" s="2" t="s">
        <v>58</v>
      </c>
      <c r="L25" s="2" t="s">
        <v>54</v>
      </c>
    </row>
    <row r="26" spans="1:16" x14ac:dyDescent="0.2">
      <c r="A26">
        <v>25</v>
      </c>
      <c r="B26" t="s">
        <v>15</v>
      </c>
      <c r="C26" t="s">
        <v>8</v>
      </c>
      <c r="D26" t="s">
        <v>14</v>
      </c>
      <c r="E26" s="2" t="s">
        <v>91</v>
      </c>
      <c r="F26" s="2" t="s">
        <v>32</v>
      </c>
      <c r="G26" s="5">
        <v>0.1</v>
      </c>
      <c r="H26" s="2" t="s">
        <v>31</v>
      </c>
      <c r="I26" s="5">
        <f>G26</f>
        <v>0.1</v>
      </c>
      <c r="J26" s="2" t="s">
        <v>57</v>
      </c>
      <c r="K26" s="2" t="s">
        <v>63</v>
      </c>
      <c r="L26" s="2" t="s">
        <v>55</v>
      </c>
    </row>
    <row r="27" spans="1:16" x14ac:dyDescent="0.2">
      <c r="A27">
        <v>26</v>
      </c>
      <c r="B27" t="s">
        <v>15</v>
      </c>
      <c r="C27" t="s">
        <v>8</v>
      </c>
      <c r="D27" t="s">
        <v>14</v>
      </c>
      <c r="E27" s="2" t="s">
        <v>91</v>
      </c>
      <c r="F27" s="2" t="s">
        <v>35</v>
      </c>
      <c r="G27" s="5">
        <v>0.45</v>
      </c>
      <c r="H27" s="2" t="s">
        <v>35</v>
      </c>
      <c r="I27" s="5">
        <f>G27*12.8%*0.2</f>
        <v>1.1520000000000002E-2</v>
      </c>
      <c r="J27" s="2" t="s">
        <v>62</v>
      </c>
      <c r="K27" s="2" t="s">
        <v>58</v>
      </c>
      <c r="L27" s="2" t="s">
        <v>83</v>
      </c>
    </row>
    <row r="28" spans="1:16" x14ac:dyDescent="0.2">
      <c r="A28">
        <v>27</v>
      </c>
      <c r="B28" t="s">
        <v>15</v>
      </c>
      <c r="C28" t="s">
        <v>8</v>
      </c>
      <c r="D28" t="s">
        <v>14</v>
      </c>
      <c r="E28" s="2" t="s">
        <v>91</v>
      </c>
      <c r="F28" s="2" t="s">
        <v>37</v>
      </c>
      <c r="G28" s="5">
        <v>0.1</v>
      </c>
      <c r="H28" s="2" t="s">
        <v>36</v>
      </c>
      <c r="I28" s="5">
        <f>G28*12.8%*0.8</f>
        <v>1.0240000000000001E-2</v>
      </c>
      <c r="J28" s="2" t="s">
        <v>59</v>
      </c>
      <c r="K28" s="2" t="s">
        <v>60</v>
      </c>
      <c r="L28" s="2" t="s">
        <v>83</v>
      </c>
    </row>
    <row r="29" spans="1:16" x14ac:dyDescent="0.2">
      <c r="A29">
        <v>28</v>
      </c>
      <c r="B29" t="s">
        <v>15</v>
      </c>
      <c r="C29" t="s">
        <v>8</v>
      </c>
      <c r="D29" t="s">
        <v>14</v>
      </c>
      <c r="E29" s="2" t="s">
        <v>91</v>
      </c>
      <c r="F29" s="2" t="s">
        <v>38</v>
      </c>
      <c r="G29" s="5">
        <v>0.15</v>
      </c>
      <c r="H29" s="2" t="s">
        <v>36</v>
      </c>
      <c r="I29" s="5">
        <f>G29*0.5%</f>
        <v>7.5000000000000002E-4</v>
      </c>
      <c r="J29" s="2" t="s">
        <v>61</v>
      </c>
      <c r="K29" s="2" t="s">
        <v>60</v>
      </c>
      <c r="L29" s="2" t="s">
        <v>83</v>
      </c>
    </row>
    <row r="30" spans="1:16" x14ac:dyDescent="0.2">
      <c r="A30">
        <v>29</v>
      </c>
      <c r="B30" t="s">
        <v>15</v>
      </c>
      <c r="C30" t="s">
        <v>8</v>
      </c>
      <c r="D30" t="s">
        <v>14</v>
      </c>
      <c r="E30" s="2" t="s">
        <v>91</v>
      </c>
      <c r="F30" s="2" t="s">
        <v>39</v>
      </c>
      <c r="G30" s="5">
        <v>0.55000000000000004</v>
      </c>
      <c r="H30" s="2" t="s">
        <v>36</v>
      </c>
      <c r="I30" s="5">
        <f>1%*G30</f>
        <v>5.5000000000000005E-3</v>
      </c>
      <c r="J30" s="2" t="s">
        <v>65</v>
      </c>
      <c r="K30" s="2" t="s">
        <v>60</v>
      </c>
      <c r="L30" s="2" t="s">
        <v>83</v>
      </c>
    </row>
    <row r="31" spans="1:16" x14ac:dyDescent="0.2">
      <c r="A31">
        <v>30</v>
      </c>
      <c r="B31" t="s">
        <v>15</v>
      </c>
      <c r="C31" t="s">
        <v>8</v>
      </c>
      <c r="D31" t="s">
        <v>14</v>
      </c>
      <c r="E31" s="2" t="s">
        <v>91</v>
      </c>
      <c r="F31" s="2" t="s">
        <v>41</v>
      </c>
      <c r="G31" s="5">
        <v>0.15</v>
      </c>
      <c r="H31" s="2" t="s">
        <v>36</v>
      </c>
      <c r="I31" s="5">
        <f>G31</f>
        <v>0.15</v>
      </c>
      <c r="J31" s="2" t="s">
        <v>57</v>
      </c>
      <c r="K31" s="2" t="s">
        <v>60</v>
      </c>
      <c r="L31" s="2" t="s">
        <v>83</v>
      </c>
    </row>
    <row r="32" spans="1:16" x14ac:dyDescent="0.2">
      <c r="A32">
        <v>31</v>
      </c>
      <c r="B32" t="s">
        <v>15</v>
      </c>
      <c r="C32" t="s">
        <v>8</v>
      </c>
      <c r="D32" t="s">
        <v>14</v>
      </c>
      <c r="E32" s="2" t="s">
        <v>91</v>
      </c>
      <c r="F32" s="2" t="s">
        <v>42</v>
      </c>
      <c r="G32" s="5">
        <v>0.35</v>
      </c>
      <c r="H32" s="2" t="s">
        <v>36</v>
      </c>
      <c r="I32" s="5">
        <f>2%*G32</f>
        <v>6.9999999999999993E-3</v>
      </c>
      <c r="J32" s="2" t="s">
        <v>65</v>
      </c>
      <c r="K32" s="2" t="s">
        <v>60</v>
      </c>
      <c r="L32" s="2" t="s">
        <v>83</v>
      </c>
    </row>
    <row r="33" spans="1:12" x14ac:dyDescent="0.2">
      <c r="A33">
        <v>32</v>
      </c>
      <c r="B33" t="s">
        <v>15</v>
      </c>
      <c r="C33" t="s">
        <v>8</v>
      </c>
      <c r="D33" t="s">
        <v>14</v>
      </c>
      <c r="E33" s="2" t="s">
        <v>91</v>
      </c>
      <c r="F33" s="2" t="s">
        <v>43</v>
      </c>
      <c r="G33" s="5">
        <v>0.2</v>
      </c>
      <c r="H33" s="2" t="s">
        <v>36</v>
      </c>
      <c r="I33" s="5">
        <f>10%*G33</f>
        <v>2.0000000000000004E-2</v>
      </c>
      <c r="J33" s="2" t="s">
        <v>68</v>
      </c>
      <c r="K33" s="2" t="s">
        <v>58</v>
      </c>
      <c r="L33" s="2" t="s">
        <v>83</v>
      </c>
    </row>
    <row r="34" spans="1:12" x14ac:dyDescent="0.2">
      <c r="A34">
        <v>33</v>
      </c>
      <c r="B34" t="s">
        <v>15</v>
      </c>
      <c r="C34" t="s">
        <v>8</v>
      </c>
      <c r="D34" t="s">
        <v>14</v>
      </c>
      <c r="E34" s="2" t="s">
        <v>91</v>
      </c>
      <c r="F34" s="2" t="s">
        <v>44</v>
      </c>
      <c r="G34" s="5">
        <v>0.04</v>
      </c>
      <c r="H34" s="2" t="s">
        <v>44</v>
      </c>
      <c r="I34" s="5">
        <f>G34</f>
        <v>0.04</v>
      </c>
      <c r="J34" s="2" t="s">
        <v>57</v>
      </c>
      <c r="K34" s="2" t="s">
        <v>58</v>
      </c>
      <c r="L34" s="2" t="s">
        <v>55</v>
      </c>
    </row>
    <row r="35" spans="1:12" x14ac:dyDescent="0.2">
      <c r="A35">
        <v>34</v>
      </c>
      <c r="B35" t="s">
        <v>15</v>
      </c>
      <c r="C35" t="s">
        <v>8</v>
      </c>
      <c r="D35" t="s">
        <v>14</v>
      </c>
      <c r="E35" s="2" t="s">
        <v>91</v>
      </c>
      <c r="F35" s="2" t="s">
        <v>45</v>
      </c>
      <c r="G35" s="5">
        <v>0.3</v>
      </c>
      <c r="H35" s="2" t="s">
        <v>44</v>
      </c>
      <c r="I35" s="5">
        <f>10%*G35</f>
        <v>0.03</v>
      </c>
      <c r="J35" s="2" t="s">
        <v>65</v>
      </c>
      <c r="K35" s="2" t="s">
        <v>58</v>
      </c>
      <c r="L35" s="2" t="s">
        <v>83</v>
      </c>
    </row>
    <row r="36" spans="1:12" x14ac:dyDescent="0.2">
      <c r="A36">
        <v>35</v>
      </c>
      <c r="B36" t="s">
        <v>15</v>
      </c>
      <c r="C36" t="s">
        <v>8</v>
      </c>
      <c r="D36" t="s">
        <v>14</v>
      </c>
      <c r="E36" s="2" t="s">
        <v>91</v>
      </c>
      <c r="F36" s="2" t="s">
        <v>47</v>
      </c>
      <c r="G36" s="5">
        <v>0.05</v>
      </c>
      <c r="H36" s="2" t="s">
        <v>46</v>
      </c>
      <c r="I36" s="5">
        <f>G36</f>
        <v>0.05</v>
      </c>
      <c r="J36" s="2" t="s">
        <v>57</v>
      </c>
      <c r="K36" s="2" t="s">
        <v>67</v>
      </c>
      <c r="L36" s="2" t="s">
        <v>84</v>
      </c>
    </row>
    <row r="37" spans="1:12" x14ac:dyDescent="0.2">
      <c r="A37">
        <v>36</v>
      </c>
      <c r="B37" t="s">
        <v>15</v>
      </c>
      <c r="C37" t="s">
        <v>8</v>
      </c>
      <c r="D37" t="s">
        <v>14</v>
      </c>
      <c r="E37" s="2" t="s">
        <v>93</v>
      </c>
      <c r="F37" s="2" t="s">
        <v>40</v>
      </c>
      <c r="G37" s="5">
        <v>7.0000000000000007E-2</v>
      </c>
      <c r="H37" s="2" t="s">
        <v>75</v>
      </c>
      <c r="I37" s="5">
        <f>30%*G37</f>
        <v>2.1000000000000001E-2</v>
      </c>
      <c r="J37" s="2" t="s">
        <v>81</v>
      </c>
      <c r="K37" s="2" t="s">
        <v>74</v>
      </c>
      <c r="L37" s="2" t="s">
        <v>83</v>
      </c>
    </row>
    <row r="38" spans="1:12" x14ac:dyDescent="0.2">
      <c r="A38">
        <v>37</v>
      </c>
      <c r="B38" t="s">
        <v>15</v>
      </c>
      <c r="C38" t="s">
        <v>8</v>
      </c>
      <c r="D38" t="s">
        <v>14</v>
      </c>
      <c r="E38" s="2" t="s">
        <v>93</v>
      </c>
      <c r="F38" s="2" t="s">
        <v>52</v>
      </c>
      <c r="G38" s="5">
        <v>0.35</v>
      </c>
      <c r="H38" s="2" t="s">
        <v>79</v>
      </c>
      <c r="I38" s="5">
        <f>20%*G38</f>
        <v>6.9999999999999993E-2</v>
      </c>
      <c r="J38" s="2" t="s">
        <v>80</v>
      </c>
      <c r="K38" s="2" t="s">
        <v>78</v>
      </c>
      <c r="L38" s="2" t="s">
        <v>83</v>
      </c>
    </row>
    <row r="39" spans="1:12" x14ac:dyDescent="0.2">
      <c r="A39">
        <v>38</v>
      </c>
      <c r="B39" t="s">
        <v>15</v>
      </c>
      <c r="C39" t="s">
        <v>8</v>
      </c>
      <c r="D39" t="s">
        <v>14</v>
      </c>
      <c r="E39" s="2" t="s">
        <v>93</v>
      </c>
      <c r="F39" s="2" t="s">
        <v>51</v>
      </c>
      <c r="G39" s="5">
        <v>0.15</v>
      </c>
      <c r="H39" s="2" t="s">
        <v>76</v>
      </c>
      <c r="I39" s="5">
        <f>15%*G39</f>
        <v>2.2499999999999999E-2</v>
      </c>
      <c r="J39" s="2" t="s">
        <v>77</v>
      </c>
      <c r="K39" s="2" t="s">
        <v>78</v>
      </c>
      <c r="L39" s="2" t="s">
        <v>88</v>
      </c>
    </row>
    <row r="40" spans="1:12" x14ac:dyDescent="0.2">
      <c r="A40">
        <v>39</v>
      </c>
      <c r="B40" t="s">
        <v>16</v>
      </c>
      <c r="C40" t="s">
        <v>9</v>
      </c>
      <c r="D40" t="s">
        <v>14</v>
      </c>
      <c r="E40" s="2" t="s">
        <v>92</v>
      </c>
      <c r="F40" s="2" t="s">
        <v>30</v>
      </c>
      <c r="G40" s="5">
        <v>0.5</v>
      </c>
      <c r="H40" s="2" t="s">
        <v>29</v>
      </c>
      <c r="I40" s="5">
        <f>1.6%*G40</f>
        <v>8.0000000000000002E-3</v>
      </c>
      <c r="J40" s="2" t="s">
        <v>64</v>
      </c>
      <c r="K40" s="2" t="s">
        <v>58</v>
      </c>
      <c r="L40" s="2" t="s">
        <v>54</v>
      </c>
    </row>
    <row r="41" spans="1:12" x14ac:dyDescent="0.2">
      <c r="A41">
        <v>40</v>
      </c>
      <c r="B41" t="s">
        <v>16</v>
      </c>
      <c r="C41" t="s">
        <v>9</v>
      </c>
      <c r="D41" t="s">
        <v>14</v>
      </c>
      <c r="E41" s="2" t="s">
        <v>92</v>
      </c>
      <c r="F41" s="2" t="s">
        <v>35</v>
      </c>
      <c r="G41" s="5">
        <v>0.8</v>
      </c>
      <c r="H41" s="2" t="s">
        <v>35</v>
      </c>
      <c r="I41" s="5">
        <f>G41*12.8%*0.2</f>
        <v>2.0480000000000002E-2</v>
      </c>
      <c r="J41" s="2" t="s">
        <v>62</v>
      </c>
      <c r="K41" s="2" t="s">
        <v>70</v>
      </c>
      <c r="L41" s="2" t="s">
        <v>86</v>
      </c>
    </row>
    <row r="42" spans="1:12" x14ac:dyDescent="0.2">
      <c r="A42">
        <v>41</v>
      </c>
      <c r="B42" t="s">
        <v>16</v>
      </c>
      <c r="C42" t="s">
        <v>9</v>
      </c>
      <c r="D42" t="s">
        <v>14</v>
      </c>
      <c r="E42" s="2" t="s">
        <v>92</v>
      </c>
      <c r="F42" s="2" t="s">
        <v>51</v>
      </c>
      <c r="G42" s="5">
        <v>0.25</v>
      </c>
      <c r="H42" s="2" t="s">
        <v>50</v>
      </c>
      <c r="I42" s="5">
        <f>10%*G42</f>
        <v>2.5000000000000001E-2</v>
      </c>
      <c r="J42" s="2" t="s">
        <v>71</v>
      </c>
      <c r="K42" s="2" t="s">
        <v>72</v>
      </c>
      <c r="L42" s="2" t="s">
        <v>87</v>
      </c>
    </row>
    <row r="43" spans="1:12" x14ac:dyDescent="0.2">
      <c r="A43">
        <v>42</v>
      </c>
      <c r="B43" t="s">
        <v>16</v>
      </c>
      <c r="C43" t="s">
        <v>9</v>
      </c>
      <c r="D43" t="s">
        <v>14</v>
      </c>
      <c r="E43" s="2" t="s">
        <v>92</v>
      </c>
      <c r="F43" s="2" t="s">
        <v>32</v>
      </c>
      <c r="G43" s="5">
        <v>0.3</v>
      </c>
      <c r="H43" s="2" t="s">
        <v>50</v>
      </c>
      <c r="I43" s="5">
        <f>G43</f>
        <v>0.3</v>
      </c>
      <c r="J43" s="2" t="s">
        <v>57</v>
      </c>
      <c r="K43" s="2" t="s">
        <v>72</v>
      </c>
      <c r="L43" s="2" t="s">
        <v>87</v>
      </c>
    </row>
    <row r="44" spans="1:12" x14ac:dyDescent="0.2">
      <c r="A44">
        <v>43</v>
      </c>
      <c r="B44" t="s">
        <v>16</v>
      </c>
      <c r="C44" t="s">
        <v>9</v>
      </c>
      <c r="D44" t="s">
        <v>14</v>
      </c>
      <c r="E44" s="2" t="s">
        <v>92</v>
      </c>
      <c r="F44" s="2" t="s">
        <v>28</v>
      </c>
      <c r="G44" s="5">
        <v>1.5</v>
      </c>
      <c r="H44" s="2" t="s">
        <v>48</v>
      </c>
      <c r="I44" s="5">
        <f>G44</f>
        <v>1.5</v>
      </c>
      <c r="J44" s="2" t="s">
        <v>57</v>
      </c>
      <c r="K44" s="2"/>
      <c r="L44" s="2" t="s">
        <v>69</v>
      </c>
    </row>
    <row r="45" spans="1:12" x14ac:dyDescent="0.2">
      <c r="A45">
        <v>44</v>
      </c>
      <c r="B45" t="s">
        <v>16</v>
      </c>
      <c r="C45" t="s">
        <v>9</v>
      </c>
      <c r="D45" t="s">
        <v>14</v>
      </c>
      <c r="E45" s="2" t="s">
        <v>91</v>
      </c>
      <c r="F45" s="2" t="s">
        <v>30</v>
      </c>
      <c r="G45" s="5">
        <v>0.5</v>
      </c>
      <c r="H45" s="2" t="s">
        <v>29</v>
      </c>
      <c r="I45" s="5">
        <f>G45*1.6%</f>
        <v>8.0000000000000002E-3</v>
      </c>
      <c r="J45" s="2" t="s">
        <v>64</v>
      </c>
      <c r="K45" s="2" t="s">
        <v>58</v>
      </c>
      <c r="L45" s="2" t="s">
        <v>54</v>
      </c>
    </row>
    <row r="46" spans="1:12" x14ac:dyDescent="0.2">
      <c r="A46">
        <v>45</v>
      </c>
      <c r="B46" t="s">
        <v>16</v>
      </c>
      <c r="C46" t="s">
        <v>9</v>
      </c>
      <c r="D46" t="s">
        <v>14</v>
      </c>
      <c r="E46" s="2" t="s">
        <v>91</v>
      </c>
      <c r="F46" s="2" t="s">
        <v>35</v>
      </c>
      <c r="G46" s="5">
        <v>0.45</v>
      </c>
      <c r="H46" s="2" t="s">
        <v>35</v>
      </c>
      <c r="I46" s="5">
        <f>G46*12.8%*0.2</f>
        <v>1.1520000000000002E-2</v>
      </c>
      <c r="J46" s="2" t="s">
        <v>62</v>
      </c>
      <c r="K46" s="2" t="s">
        <v>58</v>
      </c>
      <c r="L46" s="2" t="s">
        <v>83</v>
      </c>
    </row>
    <row r="47" spans="1:12" x14ac:dyDescent="0.2">
      <c r="A47">
        <v>46</v>
      </c>
      <c r="B47" t="s">
        <v>16</v>
      </c>
      <c r="C47" t="s">
        <v>9</v>
      </c>
      <c r="D47" t="s">
        <v>14</v>
      </c>
      <c r="E47" s="2" t="s">
        <v>91</v>
      </c>
      <c r="F47" s="2" t="s">
        <v>37</v>
      </c>
      <c r="G47" s="5">
        <v>0.25</v>
      </c>
      <c r="H47" s="2" t="s">
        <v>36</v>
      </c>
      <c r="I47" s="5">
        <f>G47*12.8%*0.8</f>
        <v>2.5600000000000001E-2</v>
      </c>
      <c r="J47" s="2" t="s">
        <v>59</v>
      </c>
      <c r="K47" s="2" t="s">
        <v>60</v>
      </c>
      <c r="L47" s="2" t="s">
        <v>83</v>
      </c>
    </row>
    <row r="48" spans="1:12" x14ac:dyDescent="0.2">
      <c r="A48">
        <v>47</v>
      </c>
      <c r="B48" t="s">
        <v>16</v>
      </c>
      <c r="C48" t="s">
        <v>9</v>
      </c>
      <c r="D48" t="s">
        <v>14</v>
      </c>
      <c r="E48" s="2" t="s">
        <v>91</v>
      </c>
      <c r="F48" s="2" t="s">
        <v>39</v>
      </c>
      <c r="G48" s="5">
        <v>0.5</v>
      </c>
      <c r="H48" s="2" t="s">
        <v>36</v>
      </c>
      <c r="I48" s="5">
        <f>1%*G48</f>
        <v>5.0000000000000001E-3</v>
      </c>
      <c r="J48" s="2" t="s">
        <v>65</v>
      </c>
      <c r="K48" s="2" t="s">
        <v>60</v>
      </c>
      <c r="L48" s="2" t="s">
        <v>83</v>
      </c>
    </row>
    <row r="49" spans="1:12" x14ac:dyDescent="0.2">
      <c r="A49">
        <v>48</v>
      </c>
      <c r="B49" t="s">
        <v>16</v>
      </c>
      <c r="C49" t="s">
        <v>9</v>
      </c>
      <c r="D49" t="s">
        <v>14</v>
      </c>
      <c r="E49" s="2" t="s">
        <v>91</v>
      </c>
      <c r="F49" s="2" t="s">
        <v>40</v>
      </c>
      <c r="G49" s="5">
        <v>0.7</v>
      </c>
      <c r="H49" s="2" t="s">
        <v>36</v>
      </c>
      <c r="I49" s="5">
        <f>0.5%*G49</f>
        <v>3.4999999999999996E-3</v>
      </c>
      <c r="J49" s="2" t="s">
        <v>66</v>
      </c>
      <c r="K49" s="2" t="s">
        <v>60</v>
      </c>
      <c r="L49" s="2" t="s">
        <v>83</v>
      </c>
    </row>
    <row r="50" spans="1:12" x14ac:dyDescent="0.2">
      <c r="A50">
        <v>49</v>
      </c>
      <c r="B50" t="s">
        <v>16</v>
      </c>
      <c r="C50" t="s">
        <v>9</v>
      </c>
      <c r="D50" t="s">
        <v>14</v>
      </c>
      <c r="E50" s="2" t="s">
        <v>91</v>
      </c>
      <c r="F50" s="2" t="s">
        <v>42</v>
      </c>
      <c r="G50" s="5">
        <v>0.35</v>
      </c>
      <c r="H50" s="2" t="s">
        <v>36</v>
      </c>
      <c r="I50" s="5">
        <f>2%*G50</f>
        <v>6.9999999999999993E-3</v>
      </c>
      <c r="J50" s="2" t="s">
        <v>65</v>
      </c>
      <c r="K50" s="2" t="s">
        <v>60</v>
      </c>
      <c r="L50" s="2" t="s">
        <v>83</v>
      </c>
    </row>
    <row r="51" spans="1:12" x14ac:dyDescent="0.2">
      <c r="A51">
        <v>50</v>
      </c>
      <c r="B51" t="s">
        <v>16</v>
      </c>
      <c r="C51" t="s">
        <v>9</v>
      </c>
      <c r="D51" t="s">
        <v>14</v>
      </c>
      <c r="E51" s="2" t="s">
        <v>91</v>
      </c>
      <c r="F51" s="2" t="s">
        <v>43</v>
      </c>
      <c r="G51" s="5">
        <v>0.04</v>
      </c>
      <c r="H51" s="2" t="s">
        <v>36</v>
      </c>
      <c r="I51" s="5">
        <f>10%*G51</f>
        <v>4.0000000000000001E-3</v>
      </c>
      <c r="J51" s="2" t="s">
        <v>68</v>
      </c>
      <c r="K51" s="2" t="s">
        <v>58</v>
      </c>
      <c r="L51" s="2" t="s">
        <v>83</v>
      </c>
    </row>
    <row r="52" spans="1:12" x14ac:dyDescent="0.2">
      <c r="A52">
        <v>51</v>
      </c>
      <c r="B52" t="s">
        <v>16</v>
      </c>
      <c r="C52" t="s">
        <v>9</v>
      </c>
      <c r="D52" t="s">
        <v>14</v>
      </c>
      <c r="E52" s="2" t="s">
        <v>91</v>
      </c>
      <c r="F52" s="2" t="s">
        <v>44</v>
      </c>
      <c r="G52" s="5">
        <v>1.4999999999999999E-2</v>
      </c>
      <c r="H52" s="2" t="s">
        <v>44</v>
      </c>
      <c r="I52" s="5">
        <f>G52</f>
        <v>1.4999999999999999E-2</v>
      </c>
      <c r="J52" s="2" t="s">
        <v>57</v>
      </c>
      <c r="K52" s="2" t="s">
        <v>58</v>
      </c>
      <c r="L52" s="2" t="s">
        <v>55</v>
      </c>
    </row>
    <row r="53" spans="1:12" x14ac:dyDescent="0.2">
      <c r="A53">
        <v>52</v>
      </c>
      <c r="B53" t="s">
        <v>16</v>
      </c>
      <c r="C53" t="s">
        <v>9</v>
      </c>
      <c r="D53" t="s">
        <v>14</v>
      </c>
      <c r="E53" s="2" t="s">
        <v>91</v>
      </c>
      <c r="F53" s="2" t="s">
        <v>45</v>
      </c>
      <c r="G53" s="5">
        <v>0.2</v>
      </c>
      <c r="H53" s="2" t="s">
        <v>44</v>
      </c>
      <c r="I53" s="5">
        <f>10%*G53</f>
        <v>2.0000000000000004E-2</v>
      </c>
      <c r="J53" s="2" t="s">
        <v>65</v>
      </c>
      <c r="K53" s="2" t="s">
        <v>58</v>
      </c>
      <c r="L53" s="2" t="s">
        <v>83</v>
      </c>
    </row>
    <row r="54" spans="1:12" x14ac:dyDescent="0.2">
      <c r="A54">
        <v>53</v>
      </c>
      <c r="B54" t="s">
        <v>16</v>
      </c>
      <c r="C54" t="s">
        <v>9</v>
      </c>
      <c r="D54" t="s">
        <v>14</v>
      </c>
      <c r="E54" s="2" t="s">
        <v>91</v>
      </c>
      <c r="F54" s="2" t="s">
        <v>47</v>
      </c>
      <c r="G54" s="5">
        <v>2.5000000000000001E-2</v>
      </c>
      <c r="H54" s="2" t="s">
        <v>46</v>
      </c>
      <c r="I54" s="5">
        <f>G54</f>
        <v>2.5000000000000001E-2</v>
      </c>
      <c r="J54" s="2" t="s">
        <v>57</v>
      </c>
      <c r="K54" s="2" t="s">
        <v>67</v>
      </c>
      <c r="L54" s="2" t="s">
        <v>84</v>
      </c>
    </row>
    <row r="55" spans="1:12" x14ac:dyDescent="0.2">
      <c r="A55">
        <v>54</v>
      </c>
      <c r="B55" t="s">
        <v>16</v>
      </c>
      <c r="C55" t="s">
        <v>9</v>
      </c>
      <c r="D55" t="s">
        <v>14</v>
      </c>
      <c r="E55" s="2" t="s">
        <v>91</v>
      </c>
      <c r="F55" s="2" t="s">
        <v>28</v>
      </c>
      <c r="G55" s="3">
        <v>2</v>
      </c>
      <c r="H55" s="2" t="s">
        <v>48</v>
      </c>
      <c r="I55" s="5">
        <f>G55</f>
        <v>2</v>
      </c>
      <c r="J55" s="2" t="s">
        <v>57</v>
      </c>
      <c r="K55" s="2"/>
      <c r="L55" s="2" t="s">
        <v>69</v>
      </c>
    </row>
    <row r="56" spans="1:12" x14ac:dyDescent="0.2">
      <c r="A56">
        <v>55</v>
      </c>
      <c r="B56" t="s">
        <v>16</v>
      </c>
      <c r="C56" t="s">
        <v>9</v>
      </c>
      <c r="D56" t="s">
        <v>14</v>
      </c>
      <c r="E56" s="2" t="s">
        <v>93</v>
      </c>
      <c r="F56" s="2" t="s">
        <v>40</v>
      </c>
      <c r="G56" s="5">
        <v>7.0000000000000007E-2</v>
      </c>
      <c r="H56" s="2" t="s">
        <v>75</v>
      </c>
      <c r="I56" s="5">
        <f>30%*G56</f>
        <v>2.1000000000000001E-2</v>
      </c>
      <c r="J56" s="2" t="s">
        <v>81</v>
      </c>
      <c r="K56" s="2" t="s">
        <v>74</v>
      </c>
      <c r="L56" s="2" t="s">
        <v>83</v>
      </c>
    </row>
    <row r="57" spans="1:12" x14ac:dyDescent="0.2">
      <c r="A57">
        <v>56</v>
      </c>
      <c r="B57" t="s">
        <v>16</v>
      </c>
      <c r="C57" t="s">
        <v>9</v>
      </c>
      <c r="D57" t="s">
        <v>14</v>
      </c>
      <c r="E57" s="2" t="s">
        <v>93</v>
      </c>
      <c r="F57" s="2" t="s">
        <v>52</v>
      </c>
      <c r="G57" s="5">
        <v>0.35</v>
      </c>
      <c r="H57" s="2" t="s">
        <v>79</v>
      </c>
      <c r="I57" s="5">
        <f>20%*G57</f>
        <v>6.9999999999999993E-2</v>
      </c>
      <c r="J57" s="2" t="s">
        <v>80</v>
      </c>
      <c r="K57" s="2" t="s">
        <v>78</v>
      </c>
      <c r="L57" s="2" t="s">
        <v>83</v>
      </c>
    </row>
    <row r="58" spans="1:12" x14ac:dyDescent="0.2">
      <c r="A58">
        <v>57</v>
      </c>
      <c r="B58" t="s">
        <v>16</v>
      </c>
      <c r="C58" t="s">
        <v>9</v>
      </c>
      <c r="D58" t="s">
        <v>14</v>
      </c>
      <c r="E58" s="2" t="s">
        <v>93</v>
      </c>
      <c r="F58" s="2" t="s">
        <v>51</v>
      </c>
      <c r="G58" s="5">
        <v>0.15</v>
      </c>
      <c r="H58" s="2" t="s">
        <v>76</v>
      </c>
      <c r="I58" s="5">
        <f>15%*G58</f>
        <v>2.2499999999999999E-2</v>
      </c>
      <c r="J58" s="2" t="s">
        <v>77</v>
      </c>
      <c r="K58" s="2" t="s">
        <v>78</v>
      </c>
      <c r="L58" s="2" t="s">
        <v>88</v>
      </c>
    </row>
    <row r="59" spans="1:12" x14ac:dyDescent="0.2">
      <c r="A59">
        <v>58</v>
      </c>
      <c r="B59" t="s">
        <v>18</v>
      </c>
      <c r="C59" t="s">
        <v>11</v>
      </c>
      <c r="D59" t="s">
        <v>14</v>
      </c>
      <c r="E59" s="2" t="s">
        <v>92</v>
      </c>
      <c r="F59" s="2" t="s">
        <v>30</v>
      </c>
      <c r="G59" s="5">
        <v>0.65</v>
      </c>
      <c r="H59" s="2" t="s">
        <v>29</v>
      </c>
      <c r="I59" s="5">
        <f>1.6%*G59</f>
        <v>1.0400000000000001E-2</v>
      </c>
      <c r="J59" s="2" t="s">
        <v>64</v>
      </c>
      <c r="K59" s="2" t="s">
        <v>58</v>
      </c>
      <c r="L59" s="2" t="s">
        <v>54</v>
      </c>
    </row>
    <row r="60" spans="1:12" x14ac:dyDescent="0.2">
      <c r="A60">
        <v>59</v>
      </c>
      <c r="B60" t="s">
        <v>18</v>
      </c>
      <c r="C60" t="s">
        <v>11</v>
      </c>
      <c r="D60" t="s">
        <v>14</v>
      </c>
      <c r="E60" s="2" t="s">
        <v>92</v>
      </c>
      <c r="F60" s="2" t="s">
        <v>49</v>
      </c>
      <c r="G60" s="5">
        <v>0.45</v>
      </c>
      <c r="H60" s="2" t="s">
        <v>49</v>
      </c>
      <c r="I60" s="5">
        <f>G60*12.8%*0.2</f>
        <v>1.1520000000000002E-2</v>
      </c>
      <c r="J60" s="2" t="s">
        <v>73</v>
      </c>
      <c r="K60" s="2" t="s">
        <v>70</v>
      </c>
      <c r="L60" s="2" t="s">
        <v>85</v>
      </c>
    </row>
    <row r="61" spans="1:12" x14ac:dyDescent="0.2">
      <c r="A61">
        <v>60</v>
      </c>
      <c r="B61" t="s">
        <v>18</v>
      </c>
      <c r="C61" t="s">
        <v>11</v>
      </c>
      <c r="D61" t="s">
        <v>14</v>
      </c>
      <c r="E61" s="2" t="s">
        <v>92</v>
      </c>
      <c r="F61" s="2" t="s">
        <v>35</v>
      </c>
      <c r="G61" s="5">
        <v>0.75</v>
      </c>
      <c r="H61" s="2" t="s">
        <v>35</v>
      </c>
      <c r="I61" s="5">
        <f>G61*12.8%*0.2</f>
        <v>1.9200000000000002E-2</v>
      </c>
      <c r="J61" s="2" t="s">
        <v>62</v>
      </c>
      <c r="K61" s="2" t="s">
        <v>70</v>
      </c>
      <c r="L61" s="2" t="s">
        <v>86</v>
      </c>
    </row>
    <row r="62" spans="1:12" x14ac:dyDescent="0.2">
      <c r="A62">
        <v>61</v>
      </c>
      <c r="B62" t="s">
        <v>18</v>
      </c>
      <c r="C62" t="s">
        <v>11</v>
      </c>
      <c r="D62" t="s">
        <v>14</v>
      </c>
      <c r="E62" s="2" t="s">
        <v>92</v>
      </c>
      <c r="F62" s="2" t="s">
        <v>51</v>
      </c>
      <c r="G62" s="5">
        <v>0.35</v>
      </c>
      <c r="H62" s="2" t="s">
        <v>50</v>
      </c>
      <c r="I62" s="5">
        <f>10%*G62</f>
        <v>3.4999999999999996E-2</v>
      </c>
      <c r="J62" s="2" t="s">
        <v>71</v>
      </c>
      <c r="K62" s="2" t="s">
        <v>72</v>
      </c>
      <c r="L62" s="2" t="s">
        <v>87</v>
      </c>
    </row>
    <row r="63" spans="1:12" x14ac:dyDescent="0.2">
      <c r="A63">
        <v>62</v>
      </c>
      <c r="B63" t="s">
        <v>18</v>
      </c>
      <c r="C63" t="s">
        <v>11</v>
      </c>
      <c r="D63" t="s">
        <v>14</v>
      </c>
      <c r="E63" s="2" t="s">
        <v>92</v>
      </c>
      <c r="F63" s="2" t="s">
        <v>32</v>
      </c>
      <c r="G63" s="5">
        <v>0.35</v>
      </c>
      <c r="H63" s="2" t="s">
        <v>50</v>
      </c>
      <c r="I63" s="5">
        <f>G63</f>
        <v>0.35</v>
      </c>
      <c r="J63" s="2" t="s">
        <v>57</v>
      </c>
      <c r="K63" s="2" t="s">
        <v>72</v>
      </c>
      <c r="L63" s="2" t="s">
        <v>87</v>
      </c>
    </row>
    <row r="64" spans="1:12" x14ac:dyDescent="0.2">
      <c r="A64">
        <v>63</v>
      </c>
      <c r="B64" t="s">
        <v>18</v>
      </c>
      <c r="C64" t="s">
        <v>11</v>
      </c>
      <c r="D64" t="s">
        <v>14</v>
      </c>
      <c r="E64" s="2" t="s">
        <v>92</v>
      </c>
      <c r="F64" s="2" t="s">
        <v>28</v>
      </c>
      <c r="G64" s="5">
        <v>1.85</v>
      </c>
      <c r="H64" s="2" t="s">
        <v>48</v>
      </c>
      <c r="I64" s="5">
        <f>G64</f>
        <v>1.85</v>
      </c>
      <c r="J64" s="2" t="s">
        <v>57</v>
      </c>
      <c r="K64" s="2"/>
      <c r="L64" s="2" t="s">
        <v>69</v>
      </c>
    </row>
    <row r="65" spans="1:12" x14ac:dyDescent="0.2">
      <c r="A65">
        <v>64</v>
      </c>
      <c r="B65" t="s">
        <v>18</v>
      </c>
      <c r="C65" t="s">
        <v>11</v>
      </c>
      <c r="D65" t="s">
        <v>14</v>
      </c>
      <c r="E65" s="2" t="s">
        <v>91</v>
      </c>
      <c r="F65" s="2" t="s">
        <v>30</v>
      </c>
      <c r="G65" s="5">
        <v>0.6</v>
      </c>
      <c r="H65" s="2" t="s">
        <v>29</v>
      </c>
      <c r="I65" s="5">
        <f>G65*1.6%</f>
        <v>9.5999999999999992E-3</v>
      </c>
      <c r="J65" s="2" t="s">
        <v>64</v>
      </c>
      <c r="K65" s="2" t="s">
        <v>58</v>
      </c>
      <c r="L65" s="2" t="s">
        <v>54</v>
      </c>
    </row>
    <row r="66" spans="1:12" x14ac:dyDescent="0.2">
      <c r="A66">
        <v>65</v>
      </c>
      <c r="B66" t="s">
        <v>18</v>
      </c>
      <c r="C66" t="s">
        <v>11</v>
      </c>
      <c r="D66" t="s">
        <v>14</v>
      </c>
      <c r="E66" s="2" t="s">
        <v>91</v>
      </c>
      <c r="F66" s="2" t="s">
        <v>32</v>
      </c>
      <c r="G66" s="5">
        <v>0.02</v>
      </c>
      <c r="H66" s="2" t="s">
        <v>31</v>
      </c>
      <c r="I66" s="5">
        <f>G66</f>
        <v>0.02</v>
      </c>
      <c r="J66" s="2" t="s">
        <v>57</v>
      </c>
      <c r="K66" s="2" t="s">
        <v>63</v>
      </c>
      <c r="L66" s="2" t="s">
        <v>55</v>
      </c>
    </row>
    <row r="67" spans="1:12" x14ac:dyDescent="0.2">
      <c r="A67">
        <v>66</v>
      </c>
      <c r="B67" t="s">
        <v>18</v>
      </c>
      <c r="C67" t="s">
        <v>11</v>
      </c>
      <c r="D67" t="s">
        <v>14</v>
      </c>
      <c r="E67" s="2" t="s">
        <v>91</v>
      </c>
      <c r="F67" s="2" t="s">
        <v>34</v>
      </c>
      <c r="G67" s="5">
        <v>0.08</v>
      </c>
      <c r="H67" s="2" t="s">
        <v>33</v>
      </c>
      <c r="I67" s="5">
        <f>12.8%*G67*0.8</f>
        <v>8.1920000000000014E-3</v>
      </c>
      <c r="J67" s="2" t="s">
        <v>59</v>
      </c>
      <c r="K67" s="2" t="s">
        <v>58</v>
      </c>
      <c r="L67" s="2" t="s">
        <v>82</v>
      </c>
    </row>
    <row r="68" spans="1:12" x14ac:dyDescent="0.2">
      <c r="A68">
        <v>67</v>
      </c>
      <c r="B68" t="s">
        <v>18</v>
      </c>
      <c r="C68" t="s">
        <v>11</v>
      </c>
      <c r="D68" t="s">
        <v>14</v>
      </c>
      <c r="E68" s="2" t="s">
        <v>91</v>
      </c>
      <c r="F68" s="2" t="s">
        <v>35</v>
      </c>
      <c r="G68" s="5">
        <v>0.35</v>
      </c>
      <c r="H68" s="2" t="s">
        <v>35</v>
      </c>
      <c r="I68" s="5">
        <f>G68*12.8%*0.2</f>
        <v>8.9600000000000009E-3</v>
      </c>
      <c r="J68" s="2" t="s">
        <v>62</v>
      </c>
      <c r="K68" s="2" t="s">
        <v>58</v>
      </c>
      <c r="L68" s="2" t="s">
        <v>83</v>
      </c>
    </row>
    <row r="69" spans="1:12" x14ac:dyDescent="0.2">
      <c r="A69">
        <v>68</v>
      </c>
      <c r="B69" t="s">
        <v>18</v>
      </c>
      <c r="C69" t="s">
        <v>11</v>
      </c>
      <c r="D69" t="s">
        <v>14</v>
      </c>
      <c r="E69" s="2" t="s">
        <v>91</v>
      </c>
      <c r="F69" s="2" t="s">
        <v>37</v>
      </c>
      <c r="G69" s="5">
        <v>0.05</v>
      </c>
      <c r="H69" s="2" t="s">
        <v>36</v>
      </c>
      <c r="I69" s="5">
        <f>G69*12.8%*0.8</f>
        <v>5.1200000000000004E-3</v>
      </c>
      <c r="J69" s="2" t="s">
        <v>59</v>
      </c>
      <c r="K69" s="2" t="s">
        <v>60</v>
      </c>
      <c r="L69" s="2" t="s">
        <v>83</v>
      </c>
    </row>
    <row r="70" spans="1:12" x14ac:dyDescent="0.2">
      <c r="A70">
        <v>69</v>
      </c>
      <c r="B70" t="s">
        <v>18</v>
      </c>
      <c r="C70" t="s">
        <v>11</v>
      </c>
      <c r="D70" t="s">
        <v>14</v>
      </c>
      <c r="E70" s="2" t="s">
        <v>91</v>
      </c>
      <c r="F70" s="2" t="s">
        <v>38</v>
      </c>
      <c r="G70" s="5">
        <v>0.35</v>
      </c>
      <c r="H70" s="2" t="s">
        <v>36</v>
      </c>
      <c r="I70" s="5">
        <f>G70*0.5%</f>
        <v>1.7499999999999998E-3</v>
      </c>
      <c r="J70" s="2" t="s">
        <v>61</v>
      </c>
      <c r="K70" s="2" t="s">
        <v>60</v>
      </c>
      <c r="L70" s="2" t="s">
        <v>83</v>
      </c>
    </row>
    <row r="71" spans="1:12" x14ac:dyDescent="0.2">
      <c r="A71">
        <v>70</v>
      </c>
      <c r="B71" t="s">
        <v>18</v>
      </c>
      <c r="C71" t="s">
        <v>11</v>
      </c>
      <c r="D71" t="s">
        <v>14</v>
      </c>
      <c r="E71" s="2" t="s">
        <v>91</v>
      </c>
      <c r="F71" s="2" t="s">
        <v>39</v>
      </c>
      <c r="G71" s="5">
        <v>0.65</v>
      </c>
      <c r="H71" s="2" t="s">
        <v>36</v>
      </c>
      <c r="I71" s="5">
        <f>1%*G71</f>
        <v>6.5000000000000006E-3</v>
      </c>
      <c r="J71" s="2" t="s">
        <v>65</v>
      </c>
      <c r="K71" s="2" t="s">
        <v>60</v>
      </c>
      <c r="L71" s="2" t="s">
        <v>83</v>
      </c>
    </row>
    <row r="72" spans="1:12" x14ac:dyDescent="0.2">
      <c r="A72">
        <v>71</v>
      </c>
      <c r="B72" t="s">
        <v>18</v>
      </c>
      <c r="C72" t="s">
        <v>11</v>
      </c>
      <c r="D72" t="s">
        <v>14</v>
      </c>
      <c r="E72" s="2" t="s">
        <v>91</v>
      </c>
      <c r="F72" s="2" t="s">
        <v>40</v>
      </c>
      <c r="G72" s="5">
        <v>0.45</v>
      </c>
      <c r="H72" s="2" t="s">
        <v>36</v>
      </c>
      <c r="I72" s="5">
        <f>0.5%*G72</f>
        <v>2.2500000000000003E-3</v>
      </c>
      <c r="J72" s="2" t="s">
        <v>66</v>
      </c>
      <c r="K72" s="2" t="s">
        <v>60</v>
      </c>
      <c r="L72" s="2" t="s">
        <v>83</v>
      </c>
    </row>
    <row r="73" spans="1:12" x14ac:dyDescent="0.2">
      <c r="A73">
        <v>72</v>
      </c>
      <c r="B73" t="s">
        <v>18</v>
      </c>
      <c r="C73" t="s">
        <v>11</v>
      </c>
      <c r="D73" t="s">
        <v>14</v>
      </c>
      <c r="E73" s="2" t="s">
        <v>91</v>
      </c>
      <c r="F73" s="2" t="s">
        <v>41</v>
      </c>
      <c r="G73" s="5">
        <v>0.3</v>
      </c>
      <c r="H73" s="2" t="s">
        <v>36</v>
      </c>
      <c r="I73" s="5">
        <f>G73</f>
        <v>0.3</v>
      </c>
      <c r="J73" s="2" t="s">
        <v>57</v>
      </c>
      <c r="K73" s="2" t="s">
        <v>60</v>
      </c>
      <c r="L73" s="2" t="s">
        <v>83</v>
      </c>
    </row>
    <row r="74" spans="1:12" x14ac:dyDescent="0.2">
      <c r="A74">
        <v>73</v>
      </c>
      <c r="B74" t="s">
        <v>18</v>
      </c>
      <c r="C74" t="s">
        <v>11</v>
      </c>
      <c r="D74" t="s">
        <v>14</v>
      </c>
      <c r="E74" s="2" t="s">
        <v>91</v>
      </c>
      <c r="F74" s="2" t="s">
        <v>42</v>
      </c>
      <c r="G74" s="5">
        <v>0.5</v>
      </c>
      <c r="H74" s="2" t="s">
        <v>36</v>
      </c>
      <c r="I74" s="5">
        <f>2%*G74</f>
        <v>0.01</v>
      </c>
      <c r="J74" s="2" t="s">
        <v>65</v>
      </c>
      <c r="K74" s="2" t="s">
        <v>60</v>
      </c>
      <c r="L74" s="2" t="s">
        <v>83</v>
      </c>
    </row>
    <row r="75" spans="1:12" x14ac:dyDescent="0.2">
      <c r="A75">
        <v>74</v>
      </c>
      <c r="B75" t="s">
        <v>18</v>
      </c>
      <c r="C75" t="s">
        <v>11</v>
      </c>
      <c r="D75" t="s">
        <v>14</v>
      </c>
      <c r="E75" s="2" t="s">
        <v>91</v>
      </c>
      <c r="F75" s="2" t="s">
        <v>43</v>
      </c>
      <c r="G75" s="5">
        <v>0.25</v>
      </c>
      <c r="H75" s="2" t="s">
        <v>36</v>
      </c>
      <c r="I75" s="5">
        <f>10%*G75</f>
        <v>2.5000000000000001E-2</v>
      </c>
      <c r="J75" s="2" t="s">
        <v>68</v>
      </c>
      <c r="K75" s="2" t="s">
        <v>58</v>
      </c>
      <c r="L75" s="2" t="s">
        <v>83</v>
      </c>
    </row>
    <row r="76" spans="1:12" x14ac:dyDescent="0.2">
      <c r="A76">
        <v>75</v>
      </c>
      <c r="B76" t="s">
        <v>18</v>
      </c>
      <c r="C76" t="s">
        <v>11</v>
      </c>
      <c r="D76" t="s">
        <v>14</v>
      </c>
      <c r="E76" s="2" t="s">
        <v>91</v>
      </c>
      <c r="F76" s="2" t="s">
        <v>44</v>
      </c>
      <c r="G76" s="5">
        <v>0.01</v>
      </c>
      <c r="H76" s="2" t="s">
        <v>44</v>
      </c>
      <c r="I76" s="5">
        <f>G76</f>
        <v>0.01</v>
      </c>
      <c r="J76" s="2" t="s">
        <v>57</v>
      </c>
      <c r="K76" s="2" t="s">
        <v>58</v>
      </c>
      <c r="L76" s="2" t="s">
        <v>55</v>
      </c>
    </row>
    <row r="77" spans="1:12" x14ac:dyDescent="0.2">
      <c r="A77">
        <v>76</v>
      </c>
      <c r="B77" t="s">
        <v>18</v>
      </c>
      <c r="C77" t="s">
        <v>11</v>
      </c>
      <c r="D77" t="s">
        <v>14</v>
      </c>
      <c r="E77" s="2" t="s">
        <v>91</v>
      </c>
      <c r="F77" s="2" t="s">
        <v>45</v>
      </c>
      <c r="G77" s="5">
        <v>0.08</v>
      </c>
      <c r="H77" s="2" t="s">
        <v>44</v>
      </c>
      <c r="I77" s="5">
        <f>10%*G77</f>
        <v>8.0000000000000002E-3</v>
      </c>
      <c r="J77" s="2" t="s">
        <v>65</v>
      </c>
      <c r="K77" s="2" t="s">
        <v>58</v>
      </c>
      <c r="L77" s="2" t="s">
        <v>83</v>
      </c>
    </row>
    <row r="78" spans="1:12" x14ac:dyDescent="0.2">
      <c r="A78">
        <v>77</v>
      </c>
      <c r="B78" t="s">
        <v>18</v>
      </c>
      <c r="C78" t="s">
        <v>11</v>
      </c>
      <c r="D78" t="s">
        <v>14</v>
      </c>
      <c r="E78" s="2" t="s">
        <v>91</v>
      </c>
      <c r="F78" s="2" t="s">
        <v>47</v>
      </c>
      <c r="G78" s="5">
        <v>2.5000000000000001E-2</v>
      </c>
      <c r="H78" s="2" t="s">
        <v>46</v>
      </c>
      <c r="I78" s="5">
        <f>G78</f>
        <v>2.5000000000000001E-2</v>
      </c>
      <c r="J78" s="2" t="s">
        <v>57</v>
      </c>
      <c r="K78" s="2" t="s">
        <v>67</v>
      </c>
      <c r="L78" s="2" t="s">
        <v>84</v>
      </c>
    </row>
    <row r="79" spans="1:12" x14ac:dyDescent="0.2">
      <c r="A79">
        <v>78</v>
      </c>
      <c r="B79" t="s">
        <v>18</v>
      </c>
      <c r="C79" t="s">
        <v>11</v>
      </c>
      <c r="D79" t="s">
        <v>14</v>
      </c>
      <c r="E79" s="2" t="s">
        <v>91</v>
      </c>
      <c r="F79" s="2" t="s">
        <v>28</v>
      </c>
      <c r="G79" s="3">
        <v>1.85</v>
      </c>
      <c r="H79" s="2" t="s">
        <v>48</v>
      </c>
      <c r="I79" s="5">
        <f>G79</f>
        <v>1.85</v>
      </c>
      <c r="J79" s="2" t="s">
        <v>57</v>
      </c>
      <c r="K79" s="2"/>
      <c r="L79" s="2" t="s">
        <v>69</v>
      </c>
    </row>
    <row r="80" spans="1:12" x14ac:dyDescent="0.2">
      <c r="A80">
        <v>79</v>
      </c>
      <c r="B80" t="s">
        <v>18</v>
      </c>
      <c r="C80" t="s">
        <v>11</v>
      </c>
      <c r="D80" t="s">
        <v>14</v>
      </c>
      <c r="E80" s="2" t="s">
        <v>93</v>
      </c>
      <c r="F80" s="2" t="s">
        <v>40</v>
      </c>
      <c r="G80" s="5">
        <v>0.04</v>
      </c>
      <c r="H80" s="2" t="s">
        <v>75</v>
      </c>
      <c r="I80" s="5">
        <f>30%*G80</f>
        <v>1.2E-2</v>
      </c>
      <c r="J80" s="2" t="s">
        <v>81</v>
      </c>
      <c r="K80" s="2" t="s">
        <v>74</v>
      </c>
      <c r="L80" s="2" t="s">
        <v>83</v>
      </c>
    </row>
    <row r="81" spans="1:12" x14ac:dyDescent="0.2">
      <c r="A81">
        <v>80</v>
      </c>
      <c r="B81" t="s">
        <v>18</v>
      </c>
      <c r="C81" t="s">
        <v>11</v>
      </c>
      <c r="D81" t="s">
        <v>14</v>
      </c>
      <c r="E81" s="2" t="s">
        <v>93</v>
      </c>
      <c r="F81" s="2" t="s">
        <v>53</v>
      </c>
      <c r="G81" s="5">
        <v>0.05</v>
      </c>
      <c r="H81" s="2" t="s">
        <v>75</v>
      </c>
      <c r="I81" s="5">
        <f>G81</f>
        <v>0.05</v>
      </c>
      <c r="J81" s="2" t="s">
        <v>57</v>
      </c>
      <c r="K81" s="2" t="s">
        <v>74</v>
      </c>
      <c r="L81" s="2" t="s">
        <v>83</v>
      </c>
    </row>
    <row r="82" spans="1:12" x14ac:dyDescent="0.2">
      <c r="A82">
        <v>81</v>
      </c>
      <c r="B82" t="s">
        <v>18</v>
      </c>
      <c r="C82" t="s">
        <v>11</v>
      </c>
      <c r="D82" t="s">
        <v>14</v>
      </c>
      <c r="E82" s="2" t="s">
        <v>93</v>
      </c>
      <c r="F82" s="2" t="s">
        <v>52</v>
      </c>
      <c r="G82" s="5">
        <v>0.65</v>
      </c>
      <c r="H82" s="2" t="s">
        <v>79</v>
      </c>
      <c r="I82" s="5">
        <f>20%*G82</f>
        <v>0.13</v>
      </c>
      <c r="J82" s="2" t="s">
        <v>80</v>
      </c>
      <c r="K82" s="2" t="s">
        <v>78</v>
      </c>
      <c r="L82" s="2" t="s">
        <v>83</v>
      </c>
    </row>
    <row r="83" spans="1:12" x14ac:dyDescent="0.2">
      <c r="A83">
        <v>82</v>
      </c>
      <c r="B83" t="s">
        <v>18</v>
      </c>
      <c r="C83" t="s">
        <v>11</v>
      </c>
      <c r="D83" t="s">
        <v>14</v>
      </c>
      <c r="E83" s="2" t="s">
        <v>93</v>
      </c>
      <c r="F83" s="2" t="s">
        <v>51</v>
      </c>
      <c r="G83" s="5">
        <v>0.2</v>
      </c>
      <c r="H83" s="2" t="s">
        <v>76</v>
      </c>
      <c r="I83" s="5">
        <f>15%*G83</f>
        <v>0.03</v>
      </c>
      <c r="J83" s="2" t="s">
        <v>77</v>
      </c>
      <c r="K83" s="2" t="s">
        <v>78</v>
      </c>
      <c r="L83" s="2" t="s">
        <v>88</v>
      </c>
    </row>
    <row r="84" spans="1:12" x14ac:dyDescent="0.2">
      <c r="A84">
        <v>83</v>
      </c>
      <c r="B84" t="s">
        <v>19</v>
      </c>
      <c r="C84" t="s">
        <v>12</v>
      </c>
      <c r="D84" t="s">
        <v>14</v>
      </c>
      <c r="E84" s="2" t="s">
        <v>92</v>
      </c>
      <c r="F84" s="2" t="s">
        <v>30</v>
      </c>
      <c r="G84" s="5">
        <v>0.35</v>
      </c>
      <c r="H84" s="2" t="s">
        <v>29</v>
      </c>
      <c r="I84" s="5">
        <f>1.6%*G84</f>
        <v>5.5999999999999999E-3</v>
      </c>
      <c r="J84" s="2" t="s">
        <v>64</v>
      </c>
      <c r="K84" s="2" t="s">
        <v>58</v>
      </c>
      <c r="L84" s="2" t="s">
        <v>54</v>
      </c>
    </row>
    <row r="85" spans="1:12" x14ac:dyDescent="0.2">
      <c r="A85">
        <v>84</v>
      </c>
      <c r="B85" t="s">
        <v>19</v>
      </c>
      <c r="C85" t="s">
        <v>12</v>
      </c>
      <c r="D85" t="s">
        <v>14</v>
      </c>
      <c r="E85" s="2" t="s">
        <v>92</v>
      </c>
      <c r="F85" s="2" t="s">
        <v>49</v>
      </c>
      <c r="G85" s="5">
        <v>0.75</v>
      </c>
      <c r="H85" s="2" t="s">
        <v>49</v>
      </c>
      <c r="I85" s="5">
        <f>G85*12.8%*0.2</f>
        <v>1.9200000000000002E-2</v>
      </c>
      <c r="J85" s="2" t="s">
        <v>73</v>
      </c>
      <c r="K85" s="2" t="s">
        <v>70</v>
      </c>
      <c r="L85" s="2" t="s">
        <v>85</v>
      </c>
    </row>
    <row r="86" spans="1:12" x14ac:dyDescent="0.2">
      <c r="A86">
        <v>85</v>
      </c>
      <c r="B86" t="s">
        <v>19</v>
      </c>
      <c r="C86" t="s">
        <v>12</v>
      </c>
      <c r="D86" t="s">
        <v>14</v>
      </c>
      <c r="E86" s="2" t="s">
        <v>92</v>
      </c>
      <c r="F86" s="2" t="s">
        <v>35</v>
      </c>
      <c r="G86" s="5">
        <v>0.75</v>
      </c>
      <c r="H86" s="2" t="s">
        <v>35</v>
      </c>
      <c r="I86" s="5">
        <f>G86*12.8%*0.2</f>
        <v>1.9200000000000002E-2</v>
      </c>
      <c r="J86" s="2" t="s">
        <v>62</v>
      </c>
      <c r="K86" s="2" t="s">
        <v>70</v>
      </c>
      <c r="L86" s="2" t="s">
        <v>86</v>
      </c>
    </row>
    <row r="87" spans="1:12" x14ac:dyDescent="0.2">
      <c r="A87">
        <v>86</v>
      </c>
      <c r="B87" t="s">
        <v>19</v>
      </c>
      <c r="C87" t="s">
        <v>12</v>
      </c>
      <c r="D87" t="s">
        <v>14</v>
      </c>
      <c r="E87" s="2" t="s">
        <v>92</v>
      </c>
      <c r="F87" s="2" t="s">
        <v>51</v>
      </c>
      <c r="G87" s="5">
        <v>0.15</v>
      </c>
      <c r="H87" s="2" t="s">
        <v>50</v>
      </c>
      <c r="I87" s="5">
        <f>10%*G87</f>
        <v>1.4999999999999999E-2</v>
      </c>
      <c r="J87" s="2" t="s">
        <v>71</v>
      </c>
      <c r="K87" s="2" t="s">
        <v>72</v>
      </c>
      <c r="L87" s="2" t="s">
        <v>87</v>
      </c>
    </row>
    <row r="88" spans="1:12" x14ac:dyDescent="0.2">
      <c r="A88">
        <v>87</v>
      </c>
      <c r="B88" t="s">
        <v>19</v>
      </c>
      <c r="C88" t="s">
        <v>12</v>
      </c>
      <c r="D88" t="s">
        <v>14</v>
      </c>
      <c r="E88" s="2" t="s">
        <v>92</v>
      </c>
      <c r="F88" s="2" t="s">
        <v>32</v>
      </c>
      <c r="G88" s="5">
        <v>0.25</v>
      </c>
      <c r="H88" s="2" t="s">
        <v>50</v>
      </c>
      <c r="I88" s="5">
        <f>G88</f>
        <v>0.25</v>
      </c>
      <c r="J88" s="2" t="s">
        <v>57</v>
      </c>
      <c r="K88" s="2" t="s">
        <v>72</v>
      </c>
      <c r="L88" s="2" t="s">
        <v>87</v>
      </c>
    </row>
    <row r="89" spans="1:12" x14ac:dyDescent="0.2">
      <c r="A89">
        <v>88</v>
      </c>
      <c r="B89" t="s">
        <v>19</v>
      </c>
      <c r="C89" t="s">
        <v>12</v>
      </c>
      <c r="D89" t="s">
        <v>14</v>
      </c>
      <c r="E89" s="2" t="s">
        <v>92</v>
      </c>
      <c r="F89" s="2" t="s">
        <v>28</v>
      </c>
      <c r="G89" s="5">
        <v>2.15</v>
      </c>
      <c r="H89" s="2" t="s">
        <v>48</v>
      </c>
      <c r="I89" s="5">
        <f>G89</f>
        <v>2.15</v>
      </c>
      <c r="J89" s="2" t="s">
        <v>57</v>
      </c>
      <c r="K89" s="2"/>
      <c r="L89" s="2" t="s">
        <v>69</v>
      </c>
    </row>
    <row r="90" spans="1:12" x14ac:dyDescent="0.2">
      <c r="A90">
        <v>89</v>
      </c>
      <c r="B90" t="s">
        <v>19</v>
      </c>
      <c r="C90" t="s">
        <v>12</v>
      </c>
      <c r="D90" t="s">
        <v>14</v>
      </c>
      <c r="E90" s="2" t="s">
        <v>91</v>
      </c>
      <c r="F90" s="2" t="s">
        <v>32</v>
      </c>
      <c r="G90" s="5">
        <v>0.1</v>
      </c>
      <c r="H90" s="2" t="s">
        <v>31</v>
      </c>
      <c r="I90" s="5">
        <f>G90</f>
        <v>0.1</v>
      </c>
      <c r="J90" s="2" t="s">
        <v>57</v>
      </c>
      <c r="K90" s="2" t="s">
        <v>63</v>
      </c>
      <c r="L90" s="2" t="s">
        <v>55</v>
      </c>
    </row>
    <row r="91" spans="1:12" x14ac:dyDescent="0.2">
      <c r="A91">
        <v>90</v>
      </c>
      <c r="B91" t="s">
        <v>19</v>
      </c>
      <c r="C91" t="s">
        <v>12</v>
      </c>
      <c r="D91" t="s">
        <v>14</v>
      </c>
      <c r="E91" s="2" t="s">
        <v>91</v>
      </c>
      <c r="F91" s="2" t="s">
        <v>34</v>
      </c>
      <c r="G91" s="5">
        <v>0.05</v>
      </c>
      <c r="H91" s="2" t="s">
        <v>33</v>
      </c>
      <c r="I91" s="5">
        <f>12.8%*G91*0.8</f>
        <v>5.1200000000000004E-3</v>
      </c>
      <c r="J91" s="2" t="s">
        <v>59</v>
      </c>
      <c r="K91" s="2" t="s">
        <v>58</v>
      </c>
      <c r="L91" s="2" t="s">
        <v>82</v>
      </c>
    </row>
    <row r="92" spans="1:12" x14ac:dyDescent="0.2">
      <c r="A92">
        <v>91</v>
      </c>
      <c r="B92" t="s">
        <v>19</v>
      </c>
      <c r="C92" t="s">
        <v>12</v>
      </c>
      <c r="D92" t="s">
        <v>14</v>
      </c>
      <c r="E92" s="2" t="s">
        <v>91</v>
      </c>
      <c r="F92" s="2" t="s">
        <v>35</v>
      </c>
      <c r="G92" s="5">
        <v>0.5</v>
      </c>
      <c r="H92" s="2" t="s">
        <v>35</v>
      </c>
      <c r="I92" s="5">
        <f>G92*12.8%*0.2</f>
        <v>1.2800000000000001E-2</v>
      </c>
      <c r="J92" s="2" t="s">
        <v>62</v>
      </c>
      <c r="K92" s="2" t="s">
        <v>58</v>
      </c>
      <c r="L92" s="2" t="s">
        <v>83</v>
      </c>
    </row>
    <row r="93" spans="1:12" x14ac:dyDescent="0.2">
      <c r="A93">
        <v>92</v>
      </c>
      <c r="B93" t="s">
        <v>19</v>
      </c>
      <c r="C93" t="s">
        <v>12</v>
      </c>
      <c r="D93" t="s">
        <v>14</v>
      </c>
      <c r="E93" s="2" t="s">
        <v>91</v>
      </c>
      <c r="F93" s="2" t="s">
        <v>37</v>
      </c>
      <c r="G93" s="5">
        <v>0.125</v>
      </c>
      <c r="H93" s="2" t="s">
        <v>36</v>
      </c>
      <c r="I93" s="5">
        <f>G93*12.8%*0.8</f>
        <v>1.2800000000000001E-2</v>
      </c>
      <c r="J93" s="2" t="s">
        <v>59</v>
      </c>
      <c r="K93" s="2" t="s">
        <v>60</v>
      </c>
      <c r="L93" s="2" t="s">
        <v>83</v>
      </c>
    </row>
    <row r="94" spans="1:12" x14ac:dyDescent="0.2">
      <c r="A94">
        <v>93</v>
      </c>
      <c r="B94" t="s">
        <v>19</v>
      </c>
      <c r="C94" t="s">
        <v>12</v>
      </c>
      <c r="D94" t="s">
        <v>14</v>
      </c>
      <c r="E94" s="2" t="s">
        <v>91</v>
      </c>
      <c r="F94" s="2" t="s">
        <v>40</v>
      </c>
      <c r="G94" s="5">
        <v>0.2</v>
      </c>
      <c r="H94" s="2" t="s">
        <v>36</v>
      </c>
      <c r="I94" s="5">
        <f>0.5%*G94</f>
        <v>1E-3</v>
      </c>
      <c r="J94" s="2" t="s">
        <v>66</v>
      </c>
      <c r="K94" s="2" t="s">
        <v>60</v>
      </c>
      <c r="L94" s="2" t="s">
        <v>83</v>
      </c>
    </row>
    <row r="95" spans="1:12" x14ac:dyDescent="0.2">
      <c r="A95">
        <v>94</v>
      </c>
      <c r="B95" t="s">
        <v>19</v>
      </c>
      <c r="C95" t="s">
        <v>12</v>
      </c>
      <c r="D95" t="s">
        <v>14</v>
      </c>
      <c r="E95" s="2" t="s">
        <v>91</v>
      </c>
      <c r="F95" s="2" t="s">
        <v>41</v>
      </c>
      <c r="G95" s="5">
        <v>0.45</v>
      </c>
      <c r="H95" s="2" t="s">
        <v>36</v>
      </c>
      <c r="I95" s="5">
        <f>G95</f>
        <v>0.45</v>
      </c>
      <c r="J95" s="2" t="s">
        <v>57</v>
      </c>
      <c r="K95" s="2" t="s">
        <v>60</v>
      </c>
      <c r="L95" s="2" t="s">
        <v>83</v>
      </c>
    </row>
    <row r="96" spans="1:12" x14ac:dyDescent="0.2">
      <c r="A96">
        <v>95</v>
      </c>
      <c r="B96" t="s">
        <v>19</v>
      </c>
      <c r="C96" t="s">
        <v>12</v>
      </c>
      <c r="D96" t="s">
        <v>14</v>
      </c>
      <c r="E96" s="2" t="s">
        <v>91</v>
      </c>
      <c r="F96" s="2" t="s">
        <v>43</v>
      </c>
      <c r="G96" s="5">
        <v>0.1</v>
      </c>
      <c r="H96" s="2" t="s">
        <v>36</v>
      </c>
      <c r="I96" s="5">
        <f>10%*G96</f>
        <v>1.0000000000000002E-2</v>
      </c>
      <c r="J96" s="2" t="s">
        <v>68</v>
      </c>
      <c r="K96" s="2" t="s">
        <v>58</v>
      </c>
      <c r="L96" s="2" t="s">
        <v>83</v>
      </c>
    </row>
    <row r="97" spans="1:12" x14ac:dyDescent="0.2">
      <c r="A97">
        <v>96</v>
      </c>
      <c r="B97" t="s">
        <v>19</v>
      </c>
      <c r="C97" t="s">
        <v>12</v>
      </c>
      <c r="D97" t="s">
        <v>14</v>
      </c>
      <c r="E97" s="2" t="s">
        <v>91</v>
      </c>
      <c r="F97" s="2" t="s">
        <v>44</v>
      </c>
      <c r="G97" s="5">
        <v>0.03</v>
      </c>
      <c r="H97" s="2" t="s">
        <v>44</v>
      </c>
      <c r="I97" s="5">
        <f>G97</f>
        <v>0.03</v>
      </c>
      <c r="J97" s="2" t="s">
        <v>57</v>
      </c>
      <c r="K97" s="2" t="s">
        <v>58</v>
      </c>
      <c r="L97" s="2" t="s">
        <v>55</v>
      </c>
    </row>
    <row r="98" spans="1:12" x14ac:dyDescent="0.2">
      <c r="A98">
        <v>97</v>
      </c>
      <c r="B98" t="s">
        <v>19</v>
      </c>
      <c r="C98" t="s">
        <v>12</v>
      </c>
      <c r="D98" t="s">
        <v>14</v>
      </c>
      <c r="E98" s="2" t="s">
        <v>91</v>
      </c>
      <c r="F98" s="2" t="s">
        <v>45</v>
      </c>
      <c r="G98" s="5">
        <v>0.05</v>
      </c>
      <c r="H98" s="2" t="s">
        <v>44</v>
      </c>
      <c r="I98" s="5">
        <f>10%*G98</f>
        <v>5.000000000000001E-3</v>
      </c>
      <c r="J98" s="2" t="s">
        <v>65</v>
      </c>
      <c r="K98" s="2" t="s">
        <v>58</v>
      </c>
      <c r="L98" s="2" t="s">
        <v>83</v>
      </c>
    </row>
    <row r="99" spans="1:12" x14ac:dyDescent="0.2">
      <c r="A99">
        <v>98</v>
      </c>
      <c r="B99" t="s">
        <v>19</v>
      </c>
      <c r="C99" t="s">
        <v>12</v>
      </c>
      <c r="D99" t="s">
        <v>14</v>
      </c>
      <c r="E99" s="2" t="s">
        <v>91</v>
      </c>
      <c r="F99" s="2" t="s">
        <v>47</v>
      </c>
      <c r="G99" s="5">
        <v>0.04</v>
      </c>
      <c r="H99" s="2" t="s">
        <v>46</v>
      </c>
      <c r="I99" s="5">
        <f>G99</f>
        <v>0.04</v>
      </c>
      <c r="J99" s="2" t="s">
        <v>57</v>
      </c>
      <c r="K99" s="2" t="s">
        <v>67</v>
      </c>
      <c r="L99" s="2" t="s">
        <v>84</v>
      </c>
    </row>
    <row r="100" spans="1:12" x14ac:dyDescent="0.2">
      <c r="A100">
        <v>99</v>
      </c>
      <c r="B100" t="s">
        <v>20</v>
      </c>
      <c r="C100" t="s">
        <v>21</v>
      </c>
      <c r="D100" t="s">
        <v>14</v>
      </c>
      <c r="E100" s="2" t="s">
        <v>92</v>
      </c>
      <c r="F100" s="2" t="s">
        <v>30</v>
      </c>
      <c r="G100" s="5">
        <v>0.65</v>
      </c>
      <c r="H100" s="2" t="s">
        <v>29</v>
      </c>
      <c r="I100" s="5">
        <f>1.6%*G100</f>
        <v>1.0400000000000001E-2</v>
      </c>
      <c r="J100" s="2" t="s">
        <v>64</v>
      </c>
      <c r="K100" s="2" t="s">
        <v>58</v>
      </c>
      <c r="L100" s="2" t="s">
        <v>54</v>
      </c>
    </row>
    <row r="101" spans="1:12" x14ac:dyDescent="0.2">
      <c r="A101">
        <v>100</v>
      </c>
      <c r="B101" t="s">
        <v>20</v>
      </c>
      <c r="C101" t="s">
        <v>21</v>
      </c>
      <c r="D101" t="s">
        <v>14</v>
      </c>
      <c r="E101" s="2" t="s">
        <v>92</v>
      </c>
      <c r="F101" s="2" t="s">
        <v>49</v>
      </c>
      <c r="G101" s="5">
        <v>0.85</v>
      </c>
      <c r="H101" s="2" t="s">
        <v>49</v>
      </c>
      <c r="I101" s="5">
        <f>G101*12.8%*0.2</f>
        <v>2.1760000000000002E-2</v>
      </c>
      <c r="J101" s="2" t="s">
        <v>73</v>
      </c>
      <c r="K101" s="2" t="s">
        <v>70</v>
      </c>
      <c r="L101" s="2" t="s">
        <v>85</v>
      </c>
    </row>
    <row r="102" spans="1:12" x14ac:dyDescent="0.2">
      <c r="A102">
        <v>101</v>
      </c>
      <c r="B102" t="s">
        <v>20</v>
      </c>
      <c r="C102" t="s">
        <v>21</v>
      </c>
      <c r="D102" t="s">
        <v>14</v>
      </c>
      <c r="E102" s="2" t="s">
        <v>92</v>
      </c>
      <c r="F102" s="2" t="s">
        <v>35</v>
      </c>
      <c r="G102" s="5">
        <v>0.75</v>
      </c>
      <c r="H102" s="2" t="s">
        <v>35</v>
      </c>
      <c r="I102" s="5">
        <f>G102*12.8%*0.2</f>
        <v>1.9200000000000002E-2</v>
      </c>
      <c r="J102" s="2" t="s">
        <v>62</v>
      </c>
      <c r="K102" s="2" t="s">
        <v>70</v>
      </c>
      <c r="L102" s="2" t="s">
        <v>86</v>
      </c>
    </row>
    <row r="103" spans="1:12" x14ac:dyDescent="0.2">
      <c r="A103">
        <v>102</v>
      </c>
      <c r="B103" t="s">
        <v>20</v>
      </c>
      <c r="C103" t="s">
        <v>21</v>
      </c>
      <c r="D103" t="s">
        <v>14</v>
      </c>
      <c r="E103" s="2" t="s">
        <v>92</v>
      </c>
      <c r="F103" s="2" t="s">
        <v>51</v>
      </c>
      <c r="G103" s="5">
        <v>0.25</v>
      </c>
      <c r="H103" s="2" t="s">
        <v>50</v>
      </c>
      <c r="I103" s="5">
        <f>10%*G103</f>
        <v>2.5000000000000001E-2</v>
      </c>
      <c r="J103" s="2" t="s">
        <v>71</v>
      </c>
      <c r="K103" s="2" t="s">
        <v>72</v>
      </c>
      <c r="L103" s="2" t="s">
        <v>87</v>
      </c>
    </row>
    <row r="104" spans="1:12" x14ac:dyDescent="0.2">
      <c r="A104">
        <v>103</v>
      </c>
      <c r="B104" t="s">
        <v>20</v>
      </c>
      <c r="C104" t="s">
        <v>21</v>
      </c>
      <c r="D104" t="s">
        <v>14</v>
      </c>
      <c r="E104" s="2" t="s">
        <v>92</v>
      </c>
      <c r="F104" s="2" t="s">
        <v>32</v>
      </c>
      <c r="G104" s="5">
        <v>0.35</v>
      </c>
      <c r="H104" s="2" t="s">
        <v>50</v>
      </c>
      <c r="I104" s="5">
        <f>G104</f>
        <v>0.35</v>
      </c>
      <c r="J104" s="2" t="s">
        <v>57</v>
      </c>
      <c r="K104" s="2" t="s">
        <v>72</v>
      </c>
      <c r="L104" s="2" t="s">
        <v>87</v>
      </c>
    </row>
    <row r="105" spans="1:12" x14ac:dyDescent="0.2">
      <c r="A105">
        <v>104</v>
      </c>
      <c r="B105" t="s">
        <v>20</v>
      </c>
      <c r="C105" t="s">
        <v>21</v>
      </c>
      <c r="D105" t="s">
        <v>14</v>
      </c>
      <c r="E105" s="2" t="s">
        <v>92</v>
      </c>
      <c r="F105" s="2" t="s">
        <v>28</v>
      </c>
      <c r="G105" s="5">
        <v>2.4500000000000002</v>
      </c>
      <c r="H105" s="2" t="s">
        <v>48</v>
      </c>
      <c r="I105" s="5">
        <f>G105</f>
        <v>2.4500000000000002</v>
      </c>
      <c r="J105" s="2" t="s">
        <v>57</v>
      </c>
      <c r="K105" s="2"/>
      <c r="L105" s="2" t="s">
        <v>69</v>
      </c>
    </row>
    <row r="106" spans="1:12" x14ac:dyDescent="0.2">
      <c r="A106">
        <v>105</v>
      </c>
      <c r="B106" t="s">
        <v>20</v>
      </c>
      <c r="C106" t="s">
        <v>21</v>
      </c>
      <c r="D106" t="s">
        <v>14</v>
      </c>
      <c r="E106" s="2" t="s">
        <v>91</v>
      </c>
      <c r="F106" s="2" t="s">
        <v>30</v>
      </c>
      <c r="G106" s="5">
        <v>0.55000000000000004</v>
      </c>
      <c r="H106" s="2" t="s">
        <v>29</v>
      </c>
      <c r="I106" s="5">
        <f>G106*1.6%</f>
        <v>8.8000000000000005E-3</v>
      </c>
      <c r="J106" s="2" t="s">
        <v>64</v>
      </c>
      <c r="K106" s="2" t="s">
        <v>58</v>
      </c>
      <c r="L106" s="2" t="s">
        <v>54</v>
      </c>
    </row>
    <row r="107" spans="1:12" x14ac:dyDescent="0.2">
      <c r="A107">
        <v>106</v>
      </c>
      <c r="B107" t="s">
        <v>20</v>
      </c>
      <c r="C107" t="s">
        <v>21</v>
      </c>
      <c r="D107" t="s">
        <v>14</v>
      </c>
      <c r="E107" s="2" t="s">
        <v>91</v>
      </c>
      <c r="F107" s="2" t="s">
        <v>32</v>
      </c>
      <c r="G107" s="5">
        <v>0.08</v>
      </c>
      <c r="H107" s="2" t="s">
        <v>31</v>
      </c>
      <c r="I107" s="5">
        <f>G107</f>
        <v>0.08</v>
      </c>
      <c r="J107" s="2" t="s">
        <v>57</v>
      </c>
      <c r="K107" s="2" t="s">
        <v>63</v>
      </c>
      <c r="L107" s="2" t="s">
        <v>55</v>
      </c>
    </row>
    <row r="108" spans="1:12" x14ac:dyDescent="0.2">
      <c r="A108">
        <v>107</v>
      </c>
      <c r="B108" t="s">
        <v>20</v>
      </c>
      <c r="C108" t="s">
        <v>21</v>
      </c>
      <c r="D108" t="s">
        <v>14</v>
      </c>
      <c r="E108" s="2" t="s">
        <v>91</v>
      </c>
      <c r="F108" s="2" t="s">
        <v>34</v>
      </c>
      <c r="G108" s="5">
        <v>7.0000000000000007E-2</v>
      </c>
      <c r="H108" s="2" t="s">
        <v>33</v>
      </c>
      <c r="I108" s="5">
        <f>12.8%*G108*0.8</f>
        <v>7.1680000000000008E-3</v>
      </c>
      <c r="J108" s="2" t="s">
        <v>59</v>
      </c>
      <c r="K108" s="2" t="s">
        <v>58</v>
      </c>
      <c r="L108" s="2" t="s">
        <v>82</v>
      </c>
    </row>
    <row r="109" spans="1:12" x14ac:dyDescent="0.2">
      <c r="A109">
        <v>108</v>
      </c>
      <c r="B109" t="s">
        <v>20</v>
      </c>
      <c r="C109" t="s">
        <v>21</v>
      </c>
      <c r="D109" t="s">
        <v>14</v>
      </c>
      <c r="E109" s="2" t="s">
        <v>91</v>
      </c>
      <c r="F109" s="2" t="s">
        <v>35</v>
      </c>
      <c r="G109" s="5">
        <v>0.55000000000000004</v>
      </c>
      <c r="H109" s="2" t="s">
        <v>35</v>
      </c>
      <c r="I109" s="5">
        <f>G109*12.8%*0.2</f>
        <v>1.4080000000000002E-2</v>
      </c>
      <c r="J109" s="2" t="s">
        <v>62</v>
      </c>
      <c r="K109" s="2" t="s">
        <v>58</v>
      </c>
      <c r="L109" s="2" t="s">
        <v>83</v>
      </c>
    </row>
    <row r="110" spans="1:12" x14ac:dyDescent="0.2">
      <c r="A110">
        <v>109</v>
      </c>
      <c r="B110" t="s">
        <v>20</v>
      </c>
      <c r="C110" t="s">
        <v>21</v>
      </c>
      <c r="D110" t="s">
        <v>14</v>
      </c>
      <c r="E110" s="2" t="s">
        <v>91</v>
      </c>
      <c r="F110" s="2" t="s">
        <v>37</v>
      </c>
      <c r="G110" s="5">
        <v>0.2</v>
      </c>
      <c r="H110" s="2" t="s">
        <v>36</v>
      </c>
      <c r="I110" s="5">
        <f>G110*12.8%*0.8</f>
        <v>2.0480000000000002E-2</v>
      </c>
      <c r="J110" s="2" t="s">
        <v>59</v>
      </c>
      <c r="K110" s="2" t="s">
        <v>60</v>
      </c>
      <c r="L110" s="2" t="s">
        <v>83</v>
      </c>
    </row>
    <row r="111" spans="1:12" x14ac:dyDescent="0.2">
      <c r="A111">
        <v>110</v>
      </c>
      <c r="B111" t="s">
        <v>20</v>
      </c>
      <c r="C111" t="s">
        <v>21</v>
      </c>
      <c r="D111" t="s">
        <v>14</v>
      </c>
      <c r="E111" s="2" t="s">
        <v>91</v>
      </c>
      <c r="F111" s="2" t="s">
        <v>38</v>
      </c>
      <c r="G111" s="5">
        <v>0.35</v>
      </c>
      <c r="H111" s="2" t="s">
        <v>36</v>
      </c>
      <c r="I111" s="5">
        <f>G111*0.5%</f>
        <v>1.7499999999999998E-3</v>
      </c>
      <c r="J111" s="2" t="s">
        <v>61</v>
      </c>
      <c r="K111" s="2" t="s">
        <v>60</v>
      </c>
      <c r="L111" s="2" t="s">
        <v>83</v>
      </c>
    </row>
    <row r="112" spans="1:12" x14ac:dyDescent="0.2">
      <c r="A112">
        <v>111</v>
      </c>
      <c r="B112" t="s">
        <v>20</v>
      </c>
      <c r="C112" t="s">
        <v>21</v>
      </c>
      <c r="D112" t="s">
        <v>14</v>
      </c>
      <c r="E112" s="2" t="s">
        <v>91</v>
      </c>
      <c r="F112" s="2" t="s">
        <v>39</v>
      </c>
      <c r="G112" s="5">
        <v>0.45</v>
      </c>
      <c r="H112" s="2" t="s">
        <v>36</v>
      </c>
      <c r="I112" s="5">
        <f>1%*G112</f>
        <v>4.5000000000000005E-3</v>
      </c>
      <c r="J112" s="2" t="s">
        <v>65</v>
      </c>
      <c r="K112" s="2" t="s">
        <v>60</v>
      </c>
      <c r="L112" s="2" t="s">
        <v>83</v>
      </c>
    </row>
    <row r="113" spans="1:12" x14ac:dyDescent="0.2">
      <c r="A113">
        <v>112</v>
      </c>
      <c r="B113" t="s">
        <v>20</v>
      </c>
      <c r="C113" t="s">
        <v>21</v>
      </c>
      <c r="D113" t="s">
        <v>14</v>
      </c>
      <c r="E113" s="2" t="s">
        <v>91</v>
      </c>
      <c r="F113" s="2" t="s">
        <v>40</v>
      </c>
      <c r="G113" s="5">
        <v>0.35</v>
      </c>
      <c r="H113" s="2" t="s">
        <v>36</v>
      </c>
      <c r="I113" s="5">
        <f>0.5%*G113</f>
        <v>1.7499999999999998E-3</v>
      </c>
      <c r="J113" s="2" t="s">
        <v>66</v>
      </c>
      <c r="K113" s="2" t="s">
        <v>60</v>
      </c>
      <c r="L113" s="2" t="s">
        <v>83</v>
      </c>
    </row>
    <row r="114" spans="1:12" x14ac:dyDescent="0.2">
      <c r="A114">
        <v>113</v>
      </c>
      <c r="B114" t="s">
        <v>20</v>
      </c>
      <c r="C114" t="s">
        <v>21</v>
      </c>
      <c r="D114" t="s">
        <v>14</v>
      </c>
      <c r="E114" s="2" t="s">
        <v>91</v>
      </c>
      <c r="F114" s="2" t="s">
        <v>41</v>
      </c>
      <c r="G114" s="5">
        <v>0.55000000000000004</v>
      </c>
      <c r="H114" s="2" t="s">
        <v>36</v>
      </c>
      <c r="I114" s="5">
        <f>G114</f>
        <v>0.55000000000000004</v>
      </c>
      <c r="J114" s="2" t="s">
        <v>57</v>
      </c>
      <c r="K114" s="2" t="s">
        <v>60</v>
      </c>
      <c r="L114" s="2" t="s">
        <v>83</v>
      </c>
    </row>
    <row r="115" spans="1:12" x14ac:dyDescent="0.2">
      <c r="A115">
        <v>114</v>
      </c>
      <c r="B115" t="s">
        <v>20</v>
      </c>
      <c r="C115" t="s">
        <v>21</v>
      </c>
      <c r="D115" t="s">
        <v>14</v>
      </c>
      <c r="E115" s="2" t="s">
        <v>91</v>
      </c>
      <c r="F115" s="2" t="s">
        <v>42</v>
      </c>
      <c r="G115" s="5">
        <v>0.3</v>
      </c>
      <c r="H115" s="2" t="s">
        <v>36</v>
      </c>
      <c r="I115" s="5">
        <f>2%*G115</f>
        <v>6.0000000000000001E-3</v>
      </c>
      <c r="J115" s="2" t="s">
        <v>65</v>
      </c>
      <c r="K115" s="2" t="s">
        <v>60</v>
      </c>
      <c r="L115" s="2" t="s">
        <v>83</v>
      </c>
    </row>
    <row r="116" spans="1:12" x14ac:dyDescent="0.2">
      <c r="A116">
        <v>115</v>
      </c>
      <c r="B116" t="s">
        <v>20</v>
      </c>
      <c r="C116" t="s">
        <v>21</v>
      </c>
      <c r="D116" t="s">
        <v>14</v>
      </c>
      <c r="E116" s="2" t="s">
        <v>91</v>
      </c>
      <c r="F116" s="2" t="s">
        <v>43</v>
      </c>
      <c r="G116" s="5">
        <v>0.25</v>
      </c>
      <c r="H116" s="2" t="s">
        <v>36</v>
      </c>
      <c r="I116" s="5">
        <f>10%*G116</f>
        <v>2.5000000000000001E-2</v>
      </c>
      <c r="J116" s="2" t="s">
        <v>68</v>
      </c>
      <c r="K116" s="2" t="s">
        <v>58</v>
      </c>
      <c r="L116" s="2" t="s">
        <v>83</v>
      </c>
    </row>
    <row r="117" spans="1:12" x14ac:dyDescent="0.2">
      <c r="A117">
        <v>116</v>
      </c>
      <c r="B117" t="s">
        <v>20</v>
      </c>
      <c r="C117" t="s">
        <v>21</v>
      </c>
      <c r="D117" t="s">
        <v>14</v>
      </c>
      <c r="E117" s="2" t="s">
        <v>91</v>
      </c>
      <c r="F117" s="2" t="s">
        <v>44</v>
      </c>
      <c r="G117" s="5">
        <v>4.4999999999999998E-2</v>
      </c>
      <c r="H117" s="2" t="s">
        <v>44</v>
      </c>
      <c r="I117" s="5">
        <f>G117</f>
        <v>4.4999999999999998E-2</v>
      </c>
      <c r="J117" s="2" t="s">
        <v>57</v>
      </c>
      <c r="K117" s="2" t="s">
        <v>58</v>
      </c>
      <c r="L117" s="2" t="s">
        <v>55</v>
      </c>
    </row>
    <row r="118" spans="1:12" x14ac:dyDescent="0.2">
      <c r="A118">
        <v>117</v>
      </c>
      <c r="B118" t="s">
        <v>20</v>
      </c>
      <c r="C118" t="s">
        <v>21</v>
      </c>
      <c r="D118" t="s">
        <v>14</v>
      </c>
      <c r="E118" s="2" t="s">
        <v>91</v>
      </c>
      <c r="F118" s="2" t="s">
        <v>45</v>
      </c>
      <c r="G118" s="5">
        <v>0.08</v>
      </c>
      <c r="H118" s="2" t="s">
        <v>44</v>
      </c>
      <c r="I118" s="5">
        <f>10%*G118</f>
        <v>8.0000000000000002E-3</v>
      </c>
      <c r="J118" s="2" t="s">
        <v>65</v>
      </c>
      <c r="K118" s="2" t="s">
        <v>58</v>
      </c>
      <c r="L118" s="2" t="s">
        <v>83</v>
      </c>
    </row>
    <row r="119" spans="1:12" x14ac:dyDescent="0.2">
      <c r="A119">
        <v>118</v>
      </c>
      <c r="B119" t="s">
        <v>20</v>
      </c>
      <c r="C119" t="s">
        <v>21</v>
      </c>
      <c r="D119" t="s">
        <v>14</v>
      </c>
      <c r="E119" s="2" t="s">
        <v>91</v>
      </c>
      <c r="F119" s="2" t="s">
        <v>47</v>
      </c>
      <c r="G119" s="5">
        <v>0.06</v>
      </c>
      <c r="H119" s="2" t="s">
        <v>46</v>
      </c>
      <c r="I119" s="5">
        <f>G119</f>
        <v>0.06</v>
      </c>
      <c r="J119" s="2" t="s">
        <v>57</v>
      </c>
      <c r="K119" s="2" t="s">
        <v>67</v>
      </c>
      <c r="L119" s="2" t="s">
        <v>84</v>
      </c>
    </row>
    <row r="120" spans="1:12" x14ac:dyDescent="0.2">
      <c r="A120">
        <v>119</v>
      </c>
      <c r="B120" t="s">
        <v>20</v>
      </c>
      <c r="C120" t="s">
        <v>21</v>
      </c>
      <c r="D120" t="s">
        <v>14</v>
      </c>
      <c r="E120" s="2" t="s">
        <v>93</v>
      </c>
      <c r="F120" s="2" t="s">
        <v>40</v>
      </c>
      <c r="G120" s="5">
        <v>0.15</v>
      </c>
      <c r="H120" s="2" t="s">
        <v>75</v>
      </c>
      <c r="I120" s="5">
        <f>30%*G120</f>
        <v>4.4999999999999998E-2</v>
      </c>
      <c r="J120" s="2" t="s">
        <v>81</v>
      </c>
      <c r="K120" s="2" t="s">
        <v>74</v>
      </c>
      <c r="L120" s="2" t="s">
        <v>83</v>
      </c>
    </row>
    <row r="121" spans="1:12" x14ac:dyDescent="0.2">
      <c r="A121">
        <v>120</v>
      </c>
      <c r="B121" t="s">
        <v>20</v>
      </c>
      <c r="C121" t="s">
        <v>21</v>
      </c>
      <c r="D121" t="s">
        <v>14</v>
      </c>
      <c r="E121" s="2" t="s">
        <v>93</v>
      </c>
      <c r="F121" s="2" t="s">
        <v>53</v>
      </c>
      <c r="G121" s="5">
        <v>6.5000000000000002E-2</v>
      </c>
      <c r="H121" s="2" t="s">
        <v>75</v>
      </c>
      <c r="I121" s="5">
        <f>G121</f>
        <v>6.5000000000000002E-2</v>
      </c>
      <c r="J121" s="2" t="s">
        <v>57</v>
      </c>
      <c r="K121" s="2" t="s">
        <v>74</v>
      </c>
      <c r="L121" s="2" t="s">
        <v>83</v>
      </c>
    </row>
    <row r="122" spans="1:12" x14ac:dyDescent="0.2">
      <c r="A122">
        <v>121</v>
      </c>
      <c r="B122" t="s">
        <v>20</v>
      </c>
      <c r="C122" t="s">
        <v>21</v>
      </c>
      <c r="D122" t="s">
        <v>14</v>
      </c>
      <c r="E122" s="2" t="s">
        <v>93</v>
      </c>
      <c r="F122" s="2" t="s">
        <v>52</v>
      </c>
      <c r="G122" s="5">
        <v>0.6</v>
      </c>
      <c r="H122" s="2" t="s">
        <v>79</v>
      </c>
      <c r="I122" s="5">
        <f>20%*G122</f>
        <v>0.12</v>
      </c>
      <c r="J122" s="2" t="s">
        <v>80</v>
      </c>
      <c r="K122" s="2" t="s">
        <v>78</v>
      </c>
      <c r="L122" s="2" t="s">
        <v>83</v>
      </c>
    </row>
    <row r="123" spans="1:12" x14ac:dyDescent="0.2">
      <c r="A123">
        <v>122</v>
      </c>
      <c r="B123" t="s">
        <v>20</v>
      </c>
      <c r="C123" t="s">
        <v>21</v>
      </c>
      <c r="D123" t="s">
        <v>14</v>
      </c>
      <c r="E123" s="2" t="s">
        <v>93</v>
      </c>
      <c r="F123" s="2" t="s">
        <v>51</v>
      </c>
      <c r="G123" s="5">
        <v>0.5</v>
      </c>
      <c r="H123" s="2" t="s">
        <v>76</v>
      </c>
      <c r="I123" s="5">
        <f>15%*G123</f>
        <v>7.4999999999999997E-2</v>
      </c>
      <c r="J123" s="2" t="s">
        <v>77</v>
      </c>
      <c r="K123" s="2" t="s">
        <v>78</v>
      </c>
      <c r="L123" s="2" t="s">
        <v>88</v>
      </c>
    </row>
    <row r="124" spans="1:12" x14ac:dyDescent="0.2">
      <c r="A124">
        <v>123</v>
      </c>
      <c r="B124" t="s">
        <v>24</v>
      </c>
      <c r="C124" t="s">
        <v>22</v>
      </c>
      <c r="D124" t="s">
        <v>14</v>
      </c>
      <c r="E124" s="2" t="s">
        <v>92</v>
      </c>
      <c r="F124" s="2" t="s">
        <v>30</v>
      </c>
      <c r="G124" s="5">
        <v>0.55000000000000004</v>
      </c>
      <c r="H124" s="2" t="s">
        <v>29</v>
      </c>
      <c r="I124" s="5">
        <f>1.6%*G124</f>
        <v>8.8000000000000005E-3</v>
      </c>
      <c r="J124" s="2" t="s">
        <v>64</v>
      </c>
      <c r="K124" s="2" t="s">
        <v>58</v>
      </c>
      <c r="L124" s="2" t="s">
        <v>54</v>
      </c>
    </row>
    <row r="125" spans="1:12" x14ac:dyDescent="0.2">
      <c r="A125">
        <v>124</v>
      </c>
      <c r="B125" t="s">
        <v>24</v>
      </c>
      <c r="C125" t="s">
        <v>22</v>
      </c>
      <c r="D125" t="s">
        <v>14</v>
      </c>
      <c r="E125" s="2" t="s">
        <v>92</v>
      </c>
      <c r="F125" s="2" t="s">
        <v>49</v>
      </c>
      <c r="G125" s="5">
        <v>0.65</v>
      </c>
      <c r="H125" s="2" t="s">
        <v>49</v>
      </c>
      <c r="I125" s="5">
        <f>G125*12.8%*0.2</f>
        <v>1.6640000000000002E-2</v>
      </c>
      <c r="J125" s="2" t="s">
        <v>73</v>
      </c>
      <c r="K125" s="2" t="s">
        <v>70</v>
      </c>
      <c r="L125" s="2" t="s">
        <v>85</v>
      </c>
    </row>
    <row r="126" spans="1:12" x14ac:dyDescent="0.2">
      <c r="A126">
        <v>125</v>
      </c>
      <c r="B126" t="s">
        <v>24</v>
      </c>
      <c r="C126" t="s">
        <v>22</v>
      </c>
      <c r="D126" t="s">
        <v>14</v>
      </c>
      <c r="E126" s="2" t="s">
        <v>92</v>
      </c>
      <c r="F126" s="2" t="s">
        <v>35</v>
      </c>
      <c r="G126" s="5">
        <v>0.6</v>
      </c>
      <c r="H126" s="2" t="s">
        <v>35</v>
      </c>
      <c r="I126" s="5">
        <f>G126*12.8%*0.2</f>
        <v>1.5359999999999999E-2</v>
      </c>
      <c r="J126" s="2" t="s">
        <v>62</v>
      </c>
      <c r="K126" s="2" t="s">
        <v>70</v>
      </c>
      <c r="L126" s="2" t="s">
        <v>86</v>
      </c>
    </row>
    <row r="127" spans="1:12" x14ac:dyDescent="0.2">
      <c r="A127">
        <v>126</v>
      </c>
      <c r="B127" t="s">
        <v>24</v>
      </c>
      <c r="C127" t="s">
        <v>22</v>
      </c>
      <c r="D127" t="s">
        <v>14</v>
      </c>
      <c r="E127" s="2" t="s">
        <v>92</v>
      </c>
      <c r="F127" s="2" t="s">
        <v>51</v>
      </c>
      <c r="G127" s="5">
        <v>0.3</v>
      </c>
      <c r="H127" s="2" t="s">
        <v>50</v>
      </c>
      <c r="I127" s="5">
        <f>10%*G127</f>
        <v>0.03</v>
      </c>
      <c r="J127" s="2" t="s">
        <v>71</v>
      </c>
      <c r="K127" s="2" t="s">
        <v>72</v>
      </c>
      <c r="L127" s="2" t="s">
        <v>87</v>
      </c>
    </row>
    <row r="128" spans="1:12" x14ac:dyDescent="0.2">
      <c r="A128">
        <v>127</v>
      </c>
      <c r="B128" t="s">
        <v>24</v>
      </c>
      <c r="C128" t="s">
        <v>22</v>
      </c>
      <c r="D128" t="s">
        <v>14</v>
      </c>
      <c r="E128" s="2" t="s">
        <v>92</v>
      </c>
      <c r="F128" s="2" t="s">
        <v>32</v>
      </c>
      <c r="G128" s="5">
        <v>0.25</v>
      </c>
      <c r="H128" s="2" t="s">
        <v>50</v>
      </c>
      <c r="I128" s="5">
        <f>G128</f>
        <v>0.25</v>
      </c>
      <c r="J128" s="2" t="s">
        <v>57</v>
      </c>
      <c r="K128" s="2" t="s">
        <v>72</v>
      </c>
      <c r="L128" s="2" t="s">
        <v>87</v>
      </c>
    </row>
    <row r="129" spans="1:12" x14ac:dyDescent="0.2">
      <c r="A129">
        <v>128</v>
      </c>
      <c r="B129" t="s">
        <v>24</v>
      </c>
      <c r="C129" t="s">
        <v>22</v>
      </c>
      <c r="D129" t="s">
        <v>14</v>
      </c>
      <c r="E129" s="2" t="s">
        <v>92</v>
      </c>
      <c r="F129" s="2" t="s">
        <v>28</v>
      </c>
      <c r="G129" s="5">
        <v>1.85</v>
      </c>
      <c r="H129" s="2" t="s">
        <v>48</v>
      </c>
      <c r="I129" s="5">
        <f>G129</f>
        <v>1.85</v>
      </c>
      <c r="J129" s="2" t="s">
        <v>57</v>
      </c>
      <c r="K129" s="2"/>
      <c r="L129" s="2" t="s">
        <v>69</v>
      </c>
    </row>
    <row r="130" spans="1:12" x14ac:dyDescent="0.2">
      <c r="A130">
        <v>129</v>
      </c>
      <c r="B130" t="s">
        <v>24</v>
      </c>
      <c r="C130" t="s">
        <v>22</v>
      </c>
      <c r="D130" t="s">
        <v>14</v>
      </c>
      <c r="E130" s="2" t="s">
        <v>91</v>
      </c>
      <c r="F130" s="2" t="s">
        <v>30</v>
      </c>
      <c r="G130" s="5">
        <v>0.6</v>
      </c>
      <c r="H130" s="2" t="s">
        <v>29</v>
      </c>
      <c r="I130" s="5">
        <f>G130*1.6%</f>
        <v>9.5999999999999992E-3</v>
      </c>
      <c r="J130" s="2" t="s">
        <v>64</v>
      </c>
      <c r="K130" s="2" t="s">
        <v>58</v>
      </c>
      <c r="L130" s="2" t="s">
        <v>54</v>
      </c>
    </row>
    <row r="131" spans="1:12" x14ac:dyDescent="0.2">
      <c r="A131">
        <v>130</v>
      </c>
      <c r="B131" t="s">
        <v>24</v>
      </c>
      <c r="C131" t="s">
        <v>22</v>
      </c>
      <c r="D131" t="s">
        <v>14</v>
      </c>
      <c r="E131" s="2" t="s">
        <v>91</v>
      </c>
      <c r="F131" s="2" t="s">
        <v>32</v>
      </c>
      <c r="G131" s="5">
        <v>7.0000000000000007E-2</v>
      </c>
      <c r="H131" s="2" t="s">
        <v>31</v>
      </c>
      <c r="I131" s="5">
        <f>G131</f>
        <v>7.0000000000000007E-2</v>
      </c>
      <c r="J131" s="2" t="s">
        <v>57</v>
      </c>
      <c r="K131" s="2" t="s">
        <v>63</v>
      </c>
      <c r="L131" s="2" t="s">
        <v>55</v>
      </c>
    </row>
    <row r="132" spans="1:12" x14ac:dyDescent="0.2">
      <c r="A132">
        <v>131</v>
      </c>
      <c r="B132" t="s">
        <v>24</v>
      </c>
      <c r="C132" t="s">
        <v>22</v>
      </c>
      <c r="D132" t="s">
        <v>14</v>
      </c>
      <c r="E132" s="2" t="s">
        <v>91</v>
      </c>
      <c r="F132" s="2" t="s">
        <v>34</v>
      </c>
      <c r="G132" s="5">
        <v>0.05</v>
      </c>
      <c r="H132" s="2" t="s">
        <v>33</v>
      </c>
      <c r="I132" s="5">
        <f>12.8%*G132*0.8</f>
        <v>5.1200000000000004E-3</v>
      </c>
      <c r="J132" s="2" t="s">
        <v>59</v>
      </c>
      <c r="K132" s="2" t="s">
        <v>58</v>
      </c>
      <c r="L132" s="2" t="s">
        <v>82</v>
      </c>
    </row>
    <row r="133" spans="1:12" x14ac:dyDescent="0.2">
      <c r="A133">
        <v>132</v>
      </c>
      <c r="B133" t="s">
        <v>24</v>
      </c>
      <c r="C133" t="s">
        <v>22</v>
      </c>
      <c r="D133" t="s">
        <v>14</v>
      </c>
      <c r="E133" s="2" t="s">
        <v>91</v>
      </c>
      <c r="F133" s="2" t="s">
        <v>35</v>
      </c>
      <c r="G133" s="5">
        <v>0.5</v>
      </c>
      <c r="H133" s="2" t="s">
        <v>35</v>
      </c>
      <c r="I133" s="5">
        <f>G133*12.8%*0.2</f>
        <v>1.2800000000000001E-2</v>
      </c>
      <c r="J133" s="2" t="s">
        <v>62</v>
      </c>
      <c r="K133" s="2" t="s">
        <v>58</v>
      </c>
      <c r="L133" s="2" t="s">
        <v>83</v>
      </c>
    </row>
    <row r="134" spans="1:12" x14ac:dyDescent="0.2">
      <c r="A134">
        <v>133</v>
      </c>
      <c r="B134" t="s">
        <v>24</v>
      </c>
      <c r="C134" t="s">
        <v>22</v>
      </c>
      <c r="D134" t="s">
        <v>14</v>
      </c>
      <c r="E134" s="2" t="s">
        <v>91</v>
      </c>
      <c r="F134" s="2" t="s">
        <v>37</v>
      </c>
      <c r="G134" s="5">
        <v>0.25</v>
      </c>
      <c r="H134" s="2" t="s">
        <v>36</v>
      </c>
      <c r="I134" s="5">
        <f>G134*12.8%*0.8</f>
        <v>2.5600000000000001E-2</v>
      </c>
      <c r="J134" s="2" t="s">
        <v>59</v>
      </c>
      <c r="K134" s="2" t="s">
        <v>60</v>
      </c>
      <c r="L134" s="2" t="s">
        <v>83</v>
      </c>
    </row>
    <row r="135" spans="1:12" x14ac:dyDescent="0.2">
      <c r="A135">
        <v>134</v>
      </c>
      <c r="B135" t="s">
        <v>24</v>
      </c>
      <c r="C135" t="s">
        <v>22</v>
      </c>
      <c r="D135" t="s">
        <v>14</v>
      </c>
      <c r="E135" s="2" t="s">
        <v>91</v>
      </c>
      <c r="F135" s="2" t="s">
        <v>38</v>
      </c>
      <c r="G135" s="5">
        <v>0.25</v>
      </c>
      <c r="H135" s="2" t="s">
        <v>36</v>
      </c>
      <c r="I135" s="5">
        <f>G135*0.5%</f>
        <v>1.25E-3</v>
      </c>
      <c r="J135" s="2" t="s">
        <v>61</v>
      </c>
      <c r="K135" s="2" t="s">
        <v>60</v>
      </c>
      <c r="L135" s="2" t="s">
        <v>83</v>
      </c>
    </row>
    <row r="136" spans="1:12" x14ac:dyDescent="0.2">
      <c r="A136">
        <v>135</v>
      </c>
      <c r="B136" t="s">
        <v>24</v>
      </c>
      <c r="C136" t="s">
        <v>22</v>
      </c>
      <c r="D136" t="s">
        <v>14</v>
      </c>
      <c r="E136" s="2" t="s">
        <v>91</v>
      </c>
      <c r="F136" s="2" t="s">
        <v>39</v>
      </c>
      <c r="G136" s="5">
        <v>0.4</v>
      </c>
      <c r="H136" s="2" t="s">
        <v>36</v>
      </c>
      <c r="I136" s="5">
        <f>1%*G136</f>
        <v>4.0000000000000001E-3</v>
      </c>
      <c r="J136" s="2" t="s">
        <v>65</v>
      </c>
      <c r="K136" s="2" t="s">
        <v>60</v>
      </c>
      <c r="L136" s="2" t="s">
        <v>83</v>
      </c>
    </row>
    <row r="137" spans="1:12" x14ac:dyDescent="0.2">
      <c r="A137">
        <v>136</v>
      </c>
      <c r="B137" t="s">
        <v>24</v>
      </c>
      <c r="C137" t="s">
        <v>22</v>
      </c>
      <c r="D137" t="s">
        <v>14</v>
      </c>
      <c r="E137" s="2" t="s">
        <v>91</v>
      </c>
      <c r="F137" s="2" t="s">
        <v>40</v>
      </c>
      <c r="G137" s="5">
        <v>0.3</v>
      </c>
      <c r="H137" s="2" t="s">
        <v>36</v>
      </c>
      <c r="I137" s="5">
        <f>0.5%*G137</f>
        <v>1.5E-3</v>
      </c>
      <c r="J137" s="2" t="s">
        <v>66</v>
      </c>
      <c r="K137" s="2" t="s">
        <v>60</v>
      </c>
      <c r="L137" s="2" t="s">
        <v>83</v>
      </c>
    </row>
    <row r="138" spans="1:12" x14ac:dyDescent="0.2">
      <c r="A138">
        <v>137</v>
      </c>
      <c r="B138" t="s">
        <v>24</v>
      </c>
      <c r="C138" t="s">
        <v>22</v>
      </c>
      <c r="D138" t="s">
        <v>14</v>
      </c>
      <c r="E138" s="2" t="s">
        <v>91</v>
      </c>
      <c r="F138" s="2" t="s">
        <v>41</v>
      </c>
      <c r="G138" s="5">
        <v>0.4</v>
      </c>
      <c r="H138" s="2" t="s">
        <v>36</v>
      </c>
      <c r="I138" s="5">
        <f>G138</f>
        <v>0.4</v>
      </c>
      <c r="J138" s="2" t="s">
        <v>57</v>
      </c>
      <c r="K138" s="2" t="s">
        <v>60</v>
      </c>
      <c r="L138" s="2" t="s">
        <v>83</v>
      </c>
    </row>
    <row r="139" spans="1:12" x14ac:dyDescent="0.2">
      <c r="A139">
        <v>138</v>
      </c>
      <c r="B139" t="s">
        <v>24</v>
      </c>
      <c r="C139" t="s">
        <v>22</v>
      </c>
      <c r="D139" t="s">
        <v>14</v>
      </c>
      <c r="E139" s="2" t="s">
        <v>91</v>
      </c>
      <c r="F139" s="2" t="s">
        <v>42</v>
      </c>
      <c r="G139" s="5">
        <v>0.35</v>
      </c>
      <c r="H139" s="2" t="s">
        <v>36</v>
      </c>
      <c r="I139" s="5">
        <f>2%*G139</f>
        <v>6.9999999999999993E-3</v>
      </c>
      <c r="J139" s="2" t="s">
        <v>65</v>
      </c>
      <c r="K139" s="2" t="s">
        <v>60</v>
      </c>
      <c r="L139" s="2" t="s">
        <v>83</v>
      </c>
    </row>
    <row r="140" spans="1:12" x14ac:dyDescent="0.2">
      <c r="A140">
        <v>139</v>
      </c>
      <c r="B140" t="s">
        <v>24</v>
      </c>
      <c r="C140" t="s">
        <v>22</v>
      </c>
      <c r="D140" t="s">
        <v>14</v>
      </c>
      <c r="E140" s="2" t="s">
        <v>91</v>
      </c>
      <c r="F140" s="2" t="s">
        <v>43</v>
      </c>
      <c r="G140" s="5">
        <v>0.3</v>
      </c>
      <c r="H140" s="2" t="s">
        <v>36</v>
      </c>
      <c r="I140" s="5">
        <f>10%*G140</f>
        <v>0.03</v>
      </c>
      <c r="J140" s="2" t="s">
        <v>68</v>
      </c>
      <c r="K140" s="2" t="s">
        <v>58</v>
      </c>
      <c r="L140" s="2" t="s">
        <v>83</v>
      </c>
    </row>
    <row r="141" spans="1:12" x14ac:dyDescent="0.2">
      <c r="A141">
        <v>140</v>
      </c>
      <c r="B141" t="s">
        <v>24</v>
      </c>
      <c r="C141" t="s">
        <v>22</v>
      </c>
      <c r="D141" t="s">
        <v>14</v>
      </c>
      <c r="E141" s="2" t="s">
        <v>91</v>
      </c>
      <c r="F141" s="2" t="s">
        <v>44</v>
      </c>
      <c r="G141" s="5">
        <v>3.5000000000000003E-2</v>
      </c>
      <c r="H141" s="2" t="s">
        <v>44</v>
      </c>
      <c r="I141" s="5">
        <f>G141</f>
        <v>3.5000000000000003E-2</v>
      </c>
      <c r="J141" s="2" t="s">
        <v>57</v>
      </c>
      <c r="K141" s="2" t="s">
        <v>58</v>
      </c>
      <c r="L141" s="2" t="s">
        <v>55</v>
      </c>
    </row>
    <row r="142" spans="1:12" x14ac:dyDescent="0.2">
      <c r="A142">
        <v>141</v>
      </c>
      <c r="B142" t="s">
        <v>24</v>
      </c>
      <c r="C142" t="s">
        <v>22</v>
      </c>
      <c r="D142" t="s">
        <v>14</v>
      </c>
      <c r="E142" s="2" t="s">
        <v>91</v>
      </c>
      <c r="F142" s="2" t="s">
        <v>45</v>
      </c>
      <c r="G142" s="5">
        <v>0.05</v>
      </c>
      <c r="H142" s="2" t="s">
        <v>44</v>
      </c>
      <c r="I142" s="5">
        <f>10%*G142</f>
        <v>5.000000000000001E-3</v>
      </c>
      <c r="J142" s="2" t="s">
        <v>65</v>
      </c>
      <c r="K142" s="2" t="s">
        <v>58</v>
      </c>
      <c r="L142" s="2" t="s">
        <v>83</v>
      </c>
    </row>
    <row r="143" spans="1:12" x14ac:dyDescent="0.2">
      <c r="A143">
        <v>142</v>
      </c>
      <c r="B143" t="s">
        <v>24</v>
      </c>
      <c r="C143" t="s">
        <v>22</v>
      </c>
      <c r="D143" t="s">
        <v>14</v>
      </c>
      <c r="E143" s="2" t="s">
        <v>91</v>
      </c>
      <c r="F143" s="2" t="s">
        <v>47</v>
      </c>
      <c r="G143" s="5">
        <v>0.08</v>
      </c>
      <c r="H143" s="2" t="s">
        <v>46</v>
      </c>
      <c r="I143" s="5">
        <f>G143</f>
        <v>0.08</v>
      </c>
      <c r="J143" s="2" t="s">
        <v>57</v>
      </c>
      <c r="K143" s="2" t="s">
        <v>67</v>
      </c>
      <c r="L143" s="2" t="s">
        <v>84</v>
      </c>
    </row>
    <row r="144" spans="1:12" x14ac:dyDescent="0.2">
      <c r="A144">
        <v>143</v>
      </c>
      <c r="B144" t="s">
        <v>24</v>
      </c>
      <c r="C144" t="s">
        <v>22</v>
      </c>
      <c r="D144" t="s">
        <v>14</v>
      </c>
      <c r="E144" s="2" t="s">
        <v>93</v>
      </c>
      <c r="F144" s="2" t="s">
        <v>40</v>
      </c>
      <c r="G144" s="5">
        <v>0.18</v>
      </c>
      <c r="H144" s="2" t="s">
        <v>75</v>
      </c>
      <c r="I144" s="5">
        <f>30%*G144</f>
        <v>5.3999999999999999E-2</v>
      </c>
      <c r="J144" s="2" t="s">
        <v>81</v>
      </c>
      <c r="K144" s="2" t="s">
        <v>74</v>
      </c>
      <c r="L144" s="2" t="s">
        <v>83</v>
      </c>
    </row>
    <row r="145" spans="1:12" x14ac:dyDescent="0.2">
      <c r="A145">
        <v>144</v>
      </c>
      <c r="B145" t="s">
        <v>24</v>
      </c>
      <c r="C145" t="s">
        <v>22</v>
      </c>
      <c r="D145" t="s">
        <v>14</v>
      </c>
      <c r="E145" s="2" t="s">
        <v>93</v>
      </c>
      <c r="F145" s="2" t="s">
        <v>53</v>
      </c>
      <c r="G145" s="5">
        <v>5.5E-2</v>
      </c>
      <c r="H145" s="2" t="s">
        <v>75</v>
      </c>
      <c r="I145" s="5">
        <f>G145</f>
        <v>5.5E-2</v>
      </c>
      <c r="J145" s="2" t="s">
        <v>57</v>
      </c>
      <c r="K145" s="2" t="s">
        <v>74</v>
      </c>
      <c r="L145" s="2" t="s">
        <v>83</v>
      </c>
    </row>
    <row r="146" spans="1:12" x14ac:dyDescent="0.2">
      <c r="A146">
        <v>145</v>
      </c>
      <c r="B146" t="s">
        <v>24</v>
      </c>
      <c r="C146" t="s">
        <v>22</v>
      </c>
      <c r="D146" t="s">
        <v>14</v>
      </c>
      <c r="E146" s="2" t="s">
        <v>93</v>
      </c>
      <c r="F146" s="2" t="s">
        <v>52</v>
      </c>
      <c r="G146" s="5">
        <v>0.45</v>
      </c>
      <c r="H146" s="2" t="s">
        <v>79</v>
      </c>
      <c r="I146" s="5">
        <f>20%*G146</f>
        <v>9.0000000000000011E-2</v>
      </c>
      <c r="J146" s="2" t="s">
        <v>80</v>
      </c>
      <c r="K146" s="2" t="s">
        <v>78</v>
      </c>
      <c r="L146" s="2" t="s">
        <v>83</v>
      </c>
    </row>
    <row r="147" spans="1:12" x14ac:dyDescent="0.2">
      <c r="A147">
        <v>146</v>
      </c>
      <c r="B147" t="s">
        <v>24</v>
      </c>
      <c r="C147" t="s">
        <v>22</v>
      </c>
      <c r="D147" t="s">
        <v>14</v>
      </c>
      <c r="E147" s="2" t="s">
        <v>93</v>
      </c>
      <c r="F147" s="2" t="s">
        <v>51</v>
      </c>
      <c r="G147" s="5">
        <v>0.35</v>
      </c>
      <c r="H147" s="2" t="s">
        <v>76</v>
      </c>
      <c r="I147" s="5">
        <f>15%*G147</f>
        <v>5.2499999999999998E-2</v>
      </c>
      <c r="J147" s="2" t="s">
        <v>77</v>
      </c>
      <c r="K147" s="2" t="s">
        <v>78</v>
      </c>
      <c r="L147" s="2" t="s">
        <v>88</v>
      </c>
    </row>
    <row r="148" spans="1:12" x14ac:dyDescent="0.2">
      <c r="A148">
        <v>147</v>
      </c>
      <c r="B148" t="s">
        <v>27</v>
      </c>
      <c r="C148" t="s">
        <v>26</v>
      </c>
      <c r="D148" t="s">
        <v>14</v>
      </c>
      <c r="E148" s="2" t="s">
        <v>92</v>
      </c>
      <c r="F148" s="2" t="s">
        <v>30</v>
      </c>
      <c r="G148" s="5">
        <v>0.6</v>
      </c>
      <c r="H148" s="2" t="s">
        <v>29</v>
      </c>
      <c r="I148" s="5">
        <f>1.6%*G148</f>
        <v>9.5999999999999992E-3</v>
      </c>
      <c r="J148" s="2" t="s">
        <v>64</v>
      </c>
      <c r="K148" s="2" t="s">
        <v>58</v>
      </c>
      <c r="L148" s="2" t="s">
        <v>54</v>
      </c>
    </row>
    <row r="149" spans="1:12" x14ac:dyDescent="0.2">
      <c r="A149">
        <v>148</v>
      </c>
      <c r="B149" t="s">
        <v>27</v>
      </c>
      <c r="C149" t="s">
        <v>26</v>
      </c>
      <c r="D149" t="s">
        <v>14</v>
      </c>
      <c r="E149" s="2" t="s">
        <v>92</v>
      </c>
      <c r="F149" s="2" t="s">
        <v>49</v>
      </c>
      <c r="G149" s="5">
        <v>0.55000000000000004</v>
      </c>
      <c r="H149" s="2" t="s">
        <v>49</v>
      </c>
      <c r="I149" s="5">
        <f>G149*12.8%*0.2</f>
        <v>1.4080000000000002E-2</v>
      </c>
      <c r="J149" s="2" t="s">
        <v>73</v>
      </c>
      <c r="K149" s="2" t="s">
        <v>70</v>
      </c>
      <c r="L149" s="2" t="s">
        <v>85</v>
      </c>
    </row>
    <row r="150" spans="1:12" x14ac:dyDescent="0.2">
      <c r="A150">
        <v>149</v>
      </c>
      <c r="B150" t="s">
        <v>27</v>
      </c>
      <c r="C150" t="s">
        <v>26</v>
      </c>
      <c r="D150" t="s">
        <v>14</v>
      </c>
      <c r="E150" s="2" t="s">
        <v>92</v>
      </c>
      <c r="F150" s="2" t="s">
        <v>35</v>
      </c>
      <c r="G150" s="5">
        <v>0.4</v>
      </c>
      <c r="H150" s="2" t="s">
        <v>35</v>
      </c>
      <c r="I150" s="5">
        <f>G150*12.8%*0.2</f>
        <v>1.0240000000000001E-2</v>
      </c>
      <c r="J150" s="2" t="s">
        <v>62</v>
      </c>
      <c r="K150" s="2" t="s">
        <v>70</v>
      </c>
      <c r="L150" s="2" t="s">
        <v>86</v>
      </c>
    </row>
    <row r="151" spans="1:12" x14ac:dyDescent="0.2">
      <c r="A151">
        <v>150</v>
      </c>
      <c r="B151" t="s">
        <v>27</v>
      </c>
      <c r="C151" t="s">
        <v>26</v>
      </c>
      <c r="D151" t="s">
        <v>14</v>
      </c>
      <c r="E151" s="2" t="s">
        <v>92</v>
      </c>
      <c r="F151" s="2" t="s">
        <v>51</v>
      </c>
      <c r="G151" s="5">
        <v>0.35</v>
      </c>
      <c r="H151" s="2" t="s">
        <v>50</v>
      </c>
      <c r="I151" s="5">
        <f>10%*G151</f>
        <v>3.4999999999999996E-2</v>
      </c>
      <c r="J151" s="2" t="s">
        <v>71</v>
      </c>
      <c r="K151" s="2" t="s">
        <v>72</v>
      </c>
      <c r="L151" s="2" t="s">
        <v>87</v>
      </c>
    </row>
    <row r="152" spans="1:12" x14ac:dyDescent="0.2">
      <c r="A152">
        <v>151</v>
      </c>
      <c r="B152" t="s">
        <v>27</v>
      </c>
      <c r="C152" t="s">
        <v>26</v>
      </c>
      <c r="D152" t="s">
        <v>14</v>
      </c>
      <c r="E152" s="2" t="s">
        <v>92</v>
      </c>
      <c r="F152" s="2" t="s">
        <v>32</v>
      </c>
      <c r="G152" s="5">
        <v>0.15</v>
      </c>
      <c r="H152" s="2" t="s">
        <v>50</v>
      </c>
      <c r="I152" s="5">
        <f>G152</f>
        <v>0.15</v>
      </c>
      <c r="J152" s="2" t="s">
        <v>57</v>
      </c>
      <c r="K152" s="2" t="s">
        <v>72</v>
      </c>
      <c r="L152" s="2" t="s">
        <v>87</v>
      </c>
    </row>
    <row r="153" spans="1:12" x14ac:dyDescent="0.2">
      <c r="A153">
        <v>152</v>
      </c>
      <c r="B153" t="s">
        <v>27</v>
      </c>
      <c r="C153" t="s">
        <v>26</v>
      </c>
      <c r="D153" t="s">
        <v>14</v>
      </c>
      <c r="E153" s="2" t="s">
        <v>92</v>
      </c>
      <c r="F153" s="2" t="s">
        <v>28</v>
      </c>
      <c r="G153" s="5">
        <v>2.15</v>
      </c>
      <c r="H153" s="2" t="s">
        <v>48</v>
      </c>
      <c r="I153" s="5">
        <f>G153</f>
        <v>2.15</v>
      </c>
      <c r="J153" s="2" t="s">
        <v>57</v>
      </c>
      <c r="K153" s="2"/>
      <c r="L153" s="2" t="s">
        <v>69</v>
      </c>
    </row>
    <row r="154" spans="1:12" x14ac:dyDescent="0.2">
      <c r="A154">
        <v>153</v>
      </c>
      <c r="B154" t="s">
        <v>27</v>
      </c>
      <c r="C154" t="s">
        <v>26</v>
      </c>
      <c r="D154" t="s">
        <v>14</v>
      </c>
      <c r="E154" s="2" t="s">
        <v>91</v>
      </c>
      <c r="F154" s="2" t="s">
        <v>30</v>
      </c>
      <c r="G154" s="5">
        <v>0.45</v>
      </c>
      <c r="H154" s="2" t="s">
        <v>29</v>
      </c>
      <c r="I154" s="5">
        <f>G154*1.6%</f>
        <v>7.2000000000000007E-3</v>
      </c>
      <c r="J154" s="2" t="s">
        <v>64</v>
      </c>
      <c r="K154" s="2" t="s">
        <v>58</v>
      </c>
      <c r="L154" s="2" t="s">
        <v>54</v>
      </c>
    </row>
    <row r="155" spans="1:12" x14ac:dyDescent="0.2">
      <c r="A155">
        <v>154</v>
      </c>
      <c r="B155" t="s">
        <v>27</v>
      </c>
      <c r="C155" t="s">
        <v>26</v>
      </c>
      <c r="D155" t="s">
        <v>14</v>
      </c>
      <c r="E155" s="2" t="s">
        <v>91</v>
      </c>
      <c r="F155" s="2" t="s">
        <v>32</v>
      </c>
      <c r="G155" s="5">
        <v>0.1</v>
      </c>
      <c r="H155" s="2" t="s">
        <v>31</v>
      </c>
      <c r="I155" s="5">
        <f>G155</f>
        <v>0.1</v>
      </c>
      <c r="J155" s="2" t="s">
        <v>57</v>
      </c>
      <c r="K155" s="2" t="s">
        <v>63</v>
      </c>
      <c r="L155" s="2" t="s">
        <v>55</v>
      </c>
    </row>
    <row r="156" spans="1:12" x14ac:dyDescent="0.2">
      <c r="A156">
        <v>155</v>
      </c>
      <c r="B156" t="s">
        <v>27</v>
      </c>
      <c r="C156" t="s">
        <v>26</v>
      </c>
      <c r="D156" t="s">
        <v>14</v>
      </c>
      <c r="E156" s="2" t="s">
        <v>91</v>
      </c>
      <c r="F156" s="2" t="s">
        <v>34</v>
      </c>
      <c r="G156" s="5">
        <v>0.08</v>
      </c>
      <c r="H156" s="2" t="s">
        <v>33</v>
      </c>
      <c r="I156" s="5">
        <f>12.8%*G156*0.8</f>
        <v>8.1920000000000014E-3</v>
      </c>
      <c r="J156" s="2" t="s">
        <v>59</v>
      </c>
      <c r="K156" s="2" t="s">
        <v>58</v>
      </c>
      <c r="L156" s="2" t="s">
        <v>82</v>
      </c>
    </row>
    <row r="157" spans="1:12" x14ac:dyDescent="0.2">
      <c r="A157">
        <v>156</v>
      </c>
      <c r="B157" t="s">
        <v>27</v>
      </c>
      <c r="C157" t="s">
        <v>26</v>
      </c>
      <c r="D157" t="s">
        <v>14</v>
      </c>
      <c r="E157" s="2" t="s">
        <v>91</v>
      </c>
      <c r="F157" s="2" t="s">
        <v>35</v>
      </c>
      <c r="G157" s="5">
        <v>0.45</v>
      </c>
      <c r="H157" s="2" t="s">
        <v>35</v>
      </c>
      <c r="I157" s="5">
        <f>G157*12.8%*0.2</f>
        <v>1.1520000000000002E-2</v>
      </c>
      <c r="J157" s="2" t="s">
        <v>62</v>
      </c>
      <c r="K157" s="2" t="s">
        <v>58</v>
      </c>
      <c r="L157" s="2" t="s">
        <v>83</v>
      </c>
    </row>
    <row r="158" spans="1:12" x14ac:dyDescent="0.2">
      <c r="A158">
        <v>157</v>
      </c>
      <c r="B158" t="s">
        <v>27</v>
      </c>
      <c r="C158" t="s">
        <v>26</v>
      </c>
      <c r="D158" t="s">
        <v>14</v>
      </c>
      <c r="E158" s="2" t="s">
        <v>91</v>
      </c>
      <c r="F158" s="2" t="s">
        <v>37</v>
      </c>
      <c r="G158" s="5">
        <v>0.3</v>
      </c>
      <c r="H158" s="2" t="s">
        <v>36</v>
      </c>
      <c r="I158" s="5">
        <f>G158*12.8%*0.8</f>
        <v>3.0719999999999997E-2</v>
      </c>
      <c r="J158" s="2" t="s">
        <v>59</v>
      </c>
      <c r="K158" s="2" t="s">
        <v>60</v>
      </c>
      <c r="L158" s="2" t="s">
        <v>83</v>
      </c>
    </row>
    <row r="159" spans="1:12" x14ac:dyDescent="0.2">
      <c r="A159">
        <v>158</v>
      </c>
      <c r="B159" t="s">
        <v>27</v>
      </c>
      <c r="C159" t="s">
        <v>26</v>
      </c>
      <c r="D159" t="s">
        <v>14</v>
      </c>
      <c r="E159" s="2" t="s">
        <v>91</v>
      </c>
      <c r="F159" s="2" t="s">
        <v>38</v>
      </c>
      <c r="G159" s="5">
        <v>0.3</v>
      </c>
      <c r="H159" s="2" t="s">
        <v>36</v>
      </c>
      <c r="I159" s="5">
        <f>G159*0.5%</f>
        <v>1.5E-3</v>
      </c>
      <c r="J159" s="2" t="s">
        <v>61</v>
      </c>
      <c r="K159" s="2" t="s">
        <v>60</v>
      </c>
      <c r="L159" s="2" t="s">
        <v>83</v>
      </c>
    </row>
    <row r="160" spans="1:12" x14ac:dyDescent="0.2">
      <c r="A160">
        <v>159</v>
      </c>
      <c r="B160" t="s">
        <v>27</v>
      </c>
      <c r="C160" t="s">
        <v>26</v>
      </c>
      <c r="D160" t="s">
        <v>14</v>
      </c>
      <c r="E160" s="2" t="s">
        <v>91</v>
      </c>
      <c r="F160" s="2" t="s">
        <v>39</v>
      </c>
      <c r="G160" s="5">
        <v>0.45</v>
      </c>
      <c r="H160" s="2" t="s">
        <v>36</v>
      </c>
      <c r="I160" s="5">
        <f>1%*G160</f>
        <v>4.5000000000000005E-3</v>
      </c>
      <c r="J160" s="2" t="s">
        <v>65</v>
      </c>
      <c r="K160" s="2" t="s">
        <v>60</v>
      </c>
      <c r="L160" s="2" t="s">
        <v>83</v>
      </c>
    </row>
    <row r="161" spans="1:12" x14ac:dyDescent="0.2">
      <c r="A161">
        <v>160</v>
      </c>
      <c r="B161" t="s">
        <v>27</v>
      </c>
      <c r="C161" t="s">
        <v>26</v>
      </c>
      <c r="D161" t="s">
        <v>14</v>
      </c>
      <c r="E161" s="2" t="s">
        <v>91</v>
      </c>
      <c r="F161" s="2" t="s">
        <v>40</v>
      </c>
      <c r="G161" s="5">
        <v>0.35</v>
      </c>
      <c r="H161" s="2" t="s">
        <v>36</v>
      </c>
      <c r="I161" s="5">
        <f>0.5%*G161</f>
        <v>1.7499999999999998E-3</v>
      </c>
      <c r="J161" s="2" t="s">
        <v>66</v>
      </c>
      <c r="K161" s="2" t="s">
        <v>60</v>
      </c>
      <c r="L161" s="2" t="s">
        <v>83</v>
      </c>
    </row>
    <row r="162" spans="1:12" x14ac:dyDescent="0.2">
      <c r="A162">
        <v>161</v>
      </c>
      <c r="B162" t="s">
        <v>27</v>
      </c>
      <c r="C162" t="s">
        <v>26</v>
      </c>
      <c r="D162" t="s">
        <v>14</v>
      </c>
      <c r="E162" s="2" t="s">
        <v>91</v>
      </c>
      <c r="F162" s="2" t="s">
        <v>41</v>
      </c>
      <c r="G162" s="5">
        <v>0.45</v>
      </c>
      <c r="H162" s="2" t="s">
        <v>36</v>
      </c>
      <c r="I162" s="5">
        <f>G162</f>
        <v>0.45</v>
      </c>
      <c r="J162" s="2" t="s">
        <v>57</v>
      </c>
      <c r="K162" s="2" t="s">
        <v>60</v>
      </c>
      <c r="L162" s="2" t="s">
        <v>83</v>
      </c>
    </row>
    <row r="163" spans="1:12" x14ac:dyDescent="0.2">
      <c r="A163">
        <v>162</v>
      </c>
      <c r="B163" t="s">
        <v>27</v>
      </c>
      <c r="C163" t="s">
        <v>26</v>
      </c>
      <c r="D163" t="s">
        <v>14</v>
      </c>
      <c r="E163" s="2" t="s">
        <v>91</v>
      </c>
      <c r="F163" s="2" t="s">
        <v>44</v>
      </c>
      <c r="G163" s="5">
        <v>0.06</v>
      </c>
      <c r="H163" s="2" t="s">
        <v>44</v>
      </c>
      <c r="I163" s="5">
        <f>G163</f>
        <v>0.06</v>
      </c>
      <c r="J163" s="2" t="s">
        <v>57</v>
      </c>
      <c r="K163" s="2" t="s">
        <v>58</v>
      </c>
      <c r="L163" s="2" t="s">
        <v>55</v>
      </c>
    </row>
    <row r="164" spans="1:12" x14ac:dyDescent="0.2">
      <c r="A164">
        <v>163</v>
      </c>
      <c r="B164" t="s">
        <v>27</v>
      </c>
      <c r="C164" t="s">
        <v>26</v>
      </c>
      <c r="D164" t="s">
        <v>14</v>
      </c>
      <c r="E164" s="2" t="s">
        <v>91</v>
      </c>
      <c r="F164" s="2" t="s">
        <v>45</v>
      </c>
      <c r="G164" s="5">
        <v>0.06</v>
      </c>
      <c r="H164" s="2" t="s">
        <v>44</v>
      </c>
      <c r="I164" s="5">
        <f>10%*G164</f>
        <v>6.0000000000000001E-3</v>
      </c>
      <c r="J164" s="2" t="s">
        <v>65</v>
      </c>
      <c r="K164" s="2" t="s">
        <v>58</v>
      </c>
      <c r="L164" s="2" t="s">
        <v>83</v>
      </c>
    </row>
    <row r="165" spans="1:12" x14ac:dyDescent="0.2">
      <c r="A165">
        <v>164</v>
      </c>
      <c r="B165" t="s">
        <v>27</v>
      </c>
      <c r="C165" t="s">
        <v>26</v>
      </c>
      <c r="D165" t="s">
        <v>14</v>
      </c>
      <c r="E165" s="2" t="s">
        <v>91</v>
      </c>
      <c r="F165" s="2" t="s">
        <v>47</v>
      </c>
      <c r="G165" s="5">
        <v>0.09</v>
      </c>
      <c r="H165" s="2" t="s">
        <v>46</v>
      </c>
      <c r="I165" s="5">
        <f>G165</f>
        <v>0.09</v>
      </c>
      <c r="J165" s="2" t="s">
        <v>57</v>
      </c>
      <c r="K165" s="2" t="s">
        <v>67</v>
      </c>
      <c r="L165" s="2" t="s">
        <v>84</v>
      </c>
    </row>
    <row r="166" spans="1:12" x14ac:dyDescent="0.2">
      <c r="A166">
        <v>165</v>
      </c>
      <c r="B166" t="s">
        <v>27</v>
      </c>
      <c r="C166" t="s">
        <v>26</v>
      </c>
      <c r="D166" t="s">
        <v>14</v>
      </c>
      <c r="E166" s="2" t="s">
        <v>93</v>
      </c>
      <c r="F166" s="2" t="s">
        <v>40</v>
      </c>
      <c r="G166" s="5">
        <v>0.15</v>
      </c>
      <c r="H166" s="2" t="s">
        <v>75</v>
      </c>
      <c r="I166" s="5">
        <f>30%*G166</f>
        <v>4.4999999999999998E-2</v>
      </c>
      <c r="J166" s="2" t="s">
        <v>81</v>
      </c>
      <c r="K166" s="2" t="s">
        <v>74</v>
      </c>
      <c r="L166" s="2" t="s">
        <v>83</v>
      </c>
    </row>
    <row r="167" spans="1:12" x14ac:dyDescent="0.2">
      <c r="A167">
        <v>166</v>
      </c>
      <c r="B167" t="s">
        <v>27</v>
      </c>
      <c r="C167" t="s">
        <v>26</v>
      </c>
      <c r="D167" t="s">
        <v>14</v>
      </c>
      <c r="E167" s="2" t="s">
        <v>93</v>
      </c>
      <c r="F167" s="2" t="s">
        <v>53</v>
      </c>
      <c r="G167" s="5">
        <v>0.03</v>
      </c>
      <c r="H167" s="2" t="s">
        <v>75</v>
      </c>
      <c r="I167" s="5">
        <f>G167</f>
        <v>0.03</v>
      </c>
      <c r="J167" s="2" t="s">
        <v>57</v>
      </c>
      <c r="K167" s="2" t="s">
        <v>74</v>
      </c>
      <c r="L167" s="2" t="s">
        <v>83</v>
      </c>
    </row>
    <row r="168" spans="1:12" x14ac:dyDescent="0.2">
      <c r="A168">
        <v>167</v>
      </c>
      <c r="B168" t="s">
        <v>27</v>
      </c>
      <c r="C168" t="s">
        <v>26</v>
      </c>
      <c r="D168" t="s">
        <v>14</v>
      </c>
      <c r="E168" s="2" t="s">
        <v>93</v>
      </c>
      <c r="F168" s="2" t="s">
        <v>52</v>
      </c>
      <c r="G168" s="5">
        <v>0.25</v>
      </c>
      <c r="H168" s="2" t="s">
        <v>79</v>
      </c>
      <c r="I168" s="5">
        <f>20%*G168</f>
        <v>0.05</v>
      </c>
      <c r="J168" s="2" t="s">
        <v>80</v>
      </c>
      <c r="K168" s="2" t="s">
        <v>78</v>
      </c>
      <c r="L168" s="2" t="s">
        <v>83</v>
      </c>
    </row>
    <row r="169" spans="1:12" x14ac:dyDescent="0.2">
      <c r="A169">
        <v>168</v>
      </c>
      <c r="B169" t="s">
        <v>27</v>
      </c>
      <c r="C169" t="s">
        <v>26</v>
      </c>
      <c r="D169" t="s">
        <v>14</v>
      </c>
      <c r="E169" s="2" t="s">
        <v>93</v>
      </c>
      <c r="F169" s="2" t="s">
        <v>51</v>
      </c>
      <c r="G169" s="5">
        <v>0.3</v>
      </c>
      <c r="H169" s="2" t="s">
        <v>76</v>
      </c>
      <c r="I169" s="5">
        <f>15%*G169</f>
        <v>4.4999999999999998E-2</v>
      </c>
      <c r="J169" s="2" t="s">
        <v>77</v>
      </c>
      <c r="K169" s="2" t="s">
        <v>78</v>
      </c>
      <c r="L169" s="2" t="s">
        <v>88</v>
      </c>
    </row>
    <row r="170" spans="1:12" x14ac:dyDescent="0.2">
      <c r="A170">
        <v>169</v>
      </c>
      <c r="B170" t="s">
        <v>25</v>
      </c>
      <c r="C170" t="s">
        <v>23</v>
      </c>
      <c r="D170" t="s">
        <v>14</v>
      </c>
      <c r="E170" s="2" t="s">
        <v>92</v>
      </c>
      <c r="F170" s="2" t="s">
        <v>30</v>
      </c>
      <c r="G170" s="5">
        <v>0.45</v>
      </c>
      <c r="H170" s="2" t="s">
        <v>29</v>
      </c>
      <c r="I170" s="5">
        <f>1.6%*G170</f>
        <v>7.2000000000000007E-3</v>
      </c>
      <c r="J170" s="2" t="s">
        <v>64</v>
      </c>
      <c r="K170" s="2" t="s">
        <v>58</v>
      </c>
      <c r="L170" s="2" t="s">
        <v>54</v>
      </c>
    </row>
    <row r="171" spans="1:12" x14ac:dyDescent="0.2">
      <c r="A171">
        <v>170</v>
      </c>
      <c r="B171" t="s">
        <v>25</v>
      </c>
      <c r="C171" t="s">
        <v>23</v>
      </c>
      <c r="D171" t="s">
        <v>14</v>
      </c>
      <c r="E171" s="2" t="s">
        <v>92</v>
      </c>
      <c r="F171" s="2" t="s">
        <v>49</v>
      </c>
      <c r="G171" s="5">
        <v>0.3</v>
      </c>
      <c r="H171" s="2" t="s">
        <v>49</v>
      </c>
      <c r="I171" s="5">
        <f>G171*12.8%*0.2</f>
        <v>7.6799999999999993E-3</v>
      </c>
      <c r="J171" s="2" t="s">
        <v>73</v>
      </c>
      <c r="K171" s="2" t="s">
        <v>70</v>
      </c>
      <c r="L171" s="2" t="s">
        <v>85</v>
      </c>
    </row>
    <row r="172" spans="1:12" x14ac:dyDescent="0.2">
      <c r="A172">
        <v>171</v>
      </c>
      <c r="B172" t="s">
        <v>25</v>
      </c>
      <c r="C172" t="s">
        <v>23</v>
      </c>
      <c r="D172" t="s">
        <v>14</v>
      </c>
      <c r="E172" s="2" t="s">
        <v>92</v>
      </c>
      <c r="F172" s="2" t="s">
        <v>35</v>
      </c>
      <c r="G172" s="5">
        <v>0.5</v>
      </c>
      <c r="H172" s="2" t="s">
        <v>35</v>
      </c>
      <c r="I172" s="5">
        <f>G172*12.8%*0.2</f>
        <v>1.2800000000000001E-2</v>
      </c>
      <c r="J172" s="2" t="s">
        <v>62</v>
      </c>
      <c r="K172" s="2" t="s">
        <v>70</v>
      </c>
      <c r="L172" s="2" t="s">
        <v>86</v>
      </c>
    </row>
    <row r="173" spans="1:12" x14ac:dyDescent="0.2">
      <c r="A173">
        <v>172</v>
      </c>
      <c r="B173" t="s">
        <v>25</v>
      </c>
      <c r="C173" t="s">
        <v>23</v>
      </c>
      <c r="D173" t="s">
        <v>14</v>
      </c>
      <c r="E173" s="2" t="s">
        <v>92</v>
      </c>
      <c r="F173" s="2" t="s">
        <v>51</v>
      </c>
      <c r="G173" s="5">
        <v>0.3</v>
      </c>
      <c r="H173" s="2" t="s">
        <v>50</v>
      </c>
      <c r="I173" s="5">
        <f>10%*G173</f>
        <v>0.03</v>
      </c>
      <c r="J173" s="2" t="s">
        <v>71</v>
      </c>
      <c r="K173" s="2" t="s">
        <v>72</v>
      </c>
      <c r="L173" s="2" t="s">
        <v>87</v>
      </c>
    </row>
    <row r="174" spans="1:12" x14ac:dyDescent="0.2">
      <c r="A174">
        <v>173</v>
      </c>
      <c r="B174" t="s">
        <v>25</v>
      </c>
      <c r="C174" t="s">
        <v>23</v>
      </c>
      <c r="D174" t="s">
        <v>14</v>
      </c>
      <c r="E174" s="2" t="s">
        <v>92</v>
      </c>
      <c r="F174" s="2" t="s">
        <v>32</v>
      </c>
      <c r="G174" s="5">
        <v>0.2</v>
      </c>
      <c r="H174" s="2" t="s">
        <v>50</v>
      </c>
      <c r="I174" s="5">
        <f>G174</f>
        <v>0.2</v>
      </c>
      <c r="J174" s="2" t="s">
        <v>57</v>
      </c>
      <c r="K174" s="2" t="s">
        <v>72</v>
      </c>
      <c r="L174" s="2" t="s">
        <v>87</v>
      </c>
    </row>
    <row r="175" spans="1:12" x14ac:dyDescent="0.2">
      <c r="A175">
        <v>174</v>
      </c>
      <c r="B175" t="s">
        <v>25</v>
      </c>
      <c r="C175" t="s">
        <v>23</v>
      </c>
      <c r="D175" t="s">
        <v>14</v>
      </c>
      <c r="E175" s="2" t="s">
        <v>92</v>
      </c>
      <c r="F175" s="2" t="s">
        <v>28</v>
      </c>
      <c r="G175" s="5">
        <v>1.8</v>
      </c>
      <c r="H175" s="2" t="s">
        <v>48</v>
      </c>
      <c r="I175" s="5">
        <f>G175</f>
        <v>1.8</v>
      </c>
      <c r="J175" s="2" t="s">
        <v>57</v>
      </c>
      <c r="K175" s="2"/>
      <c r="L175" s="2" t="s">
        <v>69</v>
      </c>
    </row>
    <row r="176" spans="1:12" x14ac:dyDescent="0.2">
      <c r="A176">
        <v>175</v>
      </c>
      <c r="B176" t="s">
        <v>25</v>
      </c>
      <c r="C176" t="s">
        <v>23</v>
      </c>
      <c r="D176" t="s">
        <v>14</v>
      </c>
      <c r="E176" s="2" t="s">
        <v>91</v>
      </c>
      <c r="F176" s="2" t="s">
        <v>30</v>
      </c>
      <c r="G176" s="5">
        <v>0.55000000000000004</v>
      </c>
      <c r="H176" s="2" t="s">
        <v>29</v>
      </c>
      <c r="I176" s="5">
        <f>G176*1.6%</f>
        <v>8.8000000000000005E-3</v>
      </c>
      <c r="J176" s="2" t="s">
        <v>64</v>
      </c>
      <c r="K176" s="2" t="s">
        <v>58</v>
      </c>
      <c r="L176" s="2" t="s">
        <v>54</v>
      </c>
    </row>
    <row r="177" spans="1:12" x14ac:dyDescent="0.2">
      <c r="A177">
        <v>176</v>
      </c>
      <c r="B177" t="s">
        <v>25</v>
      </c>
      <c r="C177" t="s">
        <v>23</v>
      </c>
      <c r="D177" t="s">
        <v>14</v>
      </c>
      <c r="E177" s="2" t="s">
        <v>91</v>
      </c>
      <c r="F177" s="2" t="s">
        <v>32</v>
      </c>
      <c r="G177" s="5">
        <v>0.12</v>
      </c>
      <c r="H177" s="2" t="s">
        <v>31</v>
      </c>
      <c r="I177" s="5">
        <f>G177</f>
        <v>0.12</v>
      </c>
      <c r="J177" s="2" t="s">
        <v>57</v>
      </c>
      <c r="K177" s="2" t="s">
        <v>63</v>
      </c>
      <c r="L177" s="2" t="s">
        <v>55</v>
      </c>
    </row>
    <row r="178" spans="1:12" x14ac:dyDescent="0.2">
      <c r="A178">
        <v>177</v>
      </c>
      <c r="B178" t="s">
        <v>25</v>
      </c>
      <c r="C178" t="s">
        <v>23</v>
      </c>
      <c r="D178" t="s">
        <v>14</v>
      </c>
      <c r="E178" s="2" t="s">
        <v>91</v>
      </c>
      <c r="F178" s="2" t="s">
        <v>34</v>
      </c>
      <c r="G178" s="5">
        <v>0.05</v>
      </c>
      <c r="H178" s="2" t="s">
        <v>33</v>
      </c>
      <c r="I178" s="5">
        <f>12.8%*G178*0.8</f>
        <v>5.1200000000000004E-3</v>
      </c>
      <c r="J178" s="2" t="s">
        <v>59</v>
      </c>
      <c r="K178" s="2" t="s">
        <v>58</v>
      </c>
      <c r="L178" s="2" t="s">
        <v>82</v>
      </c>
    </row>
    <row r="179" spans="1:12" x14ac:dyDescent="0.2">
      <c r="A179">
        <v>178</v>
      </c>
      <c r="B179" t="s">
        <v>25</v>
      </c>
      <c r="C179" t="s">
        <v>23</v>
      </c>
      <c r="D179" t="s">
        <v>14</v>
      </c>
      <c r="E179" s="2" t="s">
        <v>91</v>
      </c>
      <c r="F179" s="2" t="s">
        <v>35</v>
      </c>
      <c r="G179" s="5">
        <v>0.5</v>
      </c>
      <c r="H179" s="2" t="s">
        <v>35</v>
      </c>
      <c r="I179" s="5">
        <f>G179*12.8%*0.2</f>
        <v>1.2800000000000001E-2</v>
      </c>
      <c r="J179" s="2" t="s">
        <v>62</v>
      </c>
      <c r="K179" s="2" t="s">
        <v>58</v>
      </c>
      <c r="L179" s="2" t="s">
        <v>83</v>
      </c>
    </row>
    <row r="180" spans="1:12" x14ac:dyDescent="0.2">
      <c r="A180">
        <v>179</v>
      </c>
      <c r="B180" t="s">
        <v>25</v>
      </c>
      <c r="C180" t="s">
        <v>23</v>
      </c>
      <c r="D180" t="s">
        <v>14</v>
      </c>
      <c r="E180" s="2" t="s">
        <v>91</v>
      </c>
      <c r="F180" s="2" t="s">
        <v>37</v>
      </c>
      <c r="G180" s="5">
        <v>0.35</v>
      </c>
      <c r="H180" s="2" t="s">
        <v>36</v>
      </c>
      <c r="I180" s="5">
        <f>G180*12.8%*0.8</f>
        <v>3.5840000000000004E-2</v>
      </c>
      <c r="J180" s="2" t="s">
        <v>59</v>
      </c>
      <c r="K180" s="2" t="s">
        <v>60</v>
      </c>
      <c r="L180" s="2" t="s">
        <v>83</v>
      </c>
    </row>
    <row r="181" spans="1:12" x14ac:dyDescent="0.2">
      <c r="A181">
        <v>180</v>
      </c>
      <c r="B181" t="s">
        <v>25</v>
      </c>
      <c r="C181" t="s">
        <v>23</v>
      </c>
      <c r="D181" t="s">
        <v>14</v>
      </c>
      <c r="E181" s="2" t="s">
        <v>91</v>
      </c>
      <c r="F181" s="2" t="s">
        <v>38</v>
      </c>
      <c r="G181" s="5">
        <v>0.25</v>
      </c>
      <c r="H181" s="2" t="s">
        <v>36</v>
      </c>
      <c r="I181" s="5">
        <f>G181*0.5%</f>
        <v>1.25E-3</v>
      </c>
      <c r="J181" s="2" t="s">
        <v>61</v>
      </c>
      <c r="K181" s="2" t="s">
        <v>60</v>
      </c>
      <c r="L181" s="2" t="s">
        <v>83</v>
      </c>
    </row>
    <row r="182" spans="1:12" x14ac:dyDescent="0.2">
      <c r="A182">
        <v>181</v>
      </c>
      <c r="B182" t="s">
        <v>25</v>
      </c>
      <c r="C182" t="s">
        <v>23</v>
      </c>
      <c r="D182" t="s">
        <v>14</v>
      </c>
      <c r="E182" s="2" t="s">
        <v>91</v>
      </c>
      <c r="F182" s="2" t="s">
        <v>39</v>
      </c>
      <c r="G182" s="5">
        <v>0.4</v>
      </c>
      <c r="H182" s="2" t="s">
        <v>36</v>
      </c>
      <c r="I182" s="5">
        <f>1%*G182</f>
        <v>4.0000000000000001E-3</v>
      </c>
      <c r="J182" s="2" t="s">
        <v>65</v>
      </c>
      <c r="K182" s="2" t="s">
        <v>60</v>
      </c>
      <c r="L182" s="2" t="s">
        <v>83</v>
      </c>
    </row>
    <row r="183" spans="1:12" x14ac:dyDescent="0.2">
      <c r="A183">
        <v>182</v>
      </c>
      <c r="B183" t="s">
        <v>25</v>
      </c>
      <c r="C183" t="s">
        <v>23</v>
      </c>
      <c r="D183" t="s">
        <v>14</v>
      </c>
      <c r="E183" s="2" t="s">
        <v>91</v>
      </c>
      <c r="F183" s="2" t="s">
        <v>40</v>
      </c>
      <c r="G183" s="5">
        <v>0.3</v>
      </c>
      <c r="H183" s="2" t="s">
        <v>36</v>
      </c>
      <c r="I183" s="5">
        <f>0.5%*G183</f>
        <v>1.5E-3</v>
      </c>
      <c r="J183" s="2" t="s">
        <v>66</v>
      </c>
      <c r="K183" s="2" t="s">
        <v>60</v>
      </c>
      <c r="L183" s="2" t="s">
        <v>83</v>
      </c>
    </row>
    <row r="184" spans="1:12" x14ac:dyDescent="0.2">
      <c r="A184">
        <v>183</v>
      </c>
      <c r="B184" t="s">
        <v>25</v>
      </c>
      <c r="C184" t="s">
        <v>23</v>
      </c>
      <c r="D184" t="s">
        <v>14</v>
      </c>
      <c r="E184" s="2" t="s">
        <v>91</v>
      </c>
      <c r="F184" s="2" t="s">
        <v>41</v>
      </c>
      <c r="G184" s="5">
        <v>0.3</v>
      </c>
      <c r="H184" s="2" t="s">
        <v>36</v>
      </c>
      <c r="I184" s="5">
        <f>G184</f>
        <v>0.3</v>
      </c>
      <c r="J184" s="2" t="s">
        <v>57</v>
      </c>
      <c r="K184" s="2" t="s">
        <v>60</v>
      </c>
      <c r="L184" s="2" t="s">
        <v>83</v>
      </c>
    </row>
    <row r="185" spans="1:12" x14ac:dyDescent="0.2">
      <c r="A185">
        <v>184</v>
      </c>
      <c r="B185" t="s">
        <v>25</v>
      </c>
      <c r="C185" t="s">
        <v>23</v>
      </c>
      <c r="D185" t="s">
        <v>14</v>
      </c>
      <c r="E185" s="2" t="s">
        <v>91</v>
      </c>
      <c r="F185" s="2" t="s">
        <v>42</v>
      </c>
      <c r="G185" s="5">
        <v>0.35</v>
      </c>
      <c r="H185" s="2" t="s">
        <v>36</v>
      </c>
      <c r="I185" s="5">
        <f>2%*G185</f>
        <v>6.9999999999999993E-3</v>
      </c>
      <c r="J185" s="2" t="s">
        <v>65</v>
      </c>
      <c r="K185" s="2" t="s">
        <v>60</v>
      </c>
      <c r="L185" s="2" t="s">
        <v>83</v>
      </c>
    </row>
    <row r="186" spans="1:12" x14ac:dyDescent="0.2">
      <c r="A186">
        <v>185</v>
      </c>
      <c r="B186" t="s">
        <v>25</v>
      </c>
      <c r="C186" t="s">
        <v>23</v>
      </c>
      <c r="D186" t="s">
        <v>14</v>
      </c>
      <c r="E186" s="2" t="s">
        <v>91</v>
      </c>
      <c r="F186" s="2" t="s">
        <v>43</v>
      </c>
      <c r="G186" s="5">
        <v>0.1</v>
      </c>
      <c r="H186" s="2" t="s">
        <v>36</v>
      </c>
      <c r="I186" s="5">
        <f>10%*G186</f>
        <v>1.0000000000000002E-2</v>
      </c>
      <c r="J186" s="2" t="s">
        <v>68</v>
      </c>
      <c r="K186" s="2" t="s">
        <v>58</v>
      </c>
      <c r="L186" s="2" t="s">
        <v>83</v>
      </c>
    </row>
    <row r="187" spans="1:12" x14ac:dyDescent="0.2">
      <c r="A187">
        <v>186</v>
      </c>
      <c r="B187" t="s">
        <v>25</v>
      </c>
      <c r="C187" t="s">
        <v>23</v>
      </c>
      <c r="D187" t="s">
        <v>14</v>
      </c>
      <c r="E187" s="2" t="s">
        <v>91</v>
      </c>
      <c r="F187" s="2" t="s">
        <v>44</v>
      </c>
      <c r="G187" s="5">
        <v>0.03</v>
      </c>
      <c r="H187" s="2" t="s">
        <v>44</v>
      </c>
      <c r="I187" s="5">
        <f>G187</f>
        <v>0.03</v>
      </c>
      <c r="J187" s="2" t="s">
        <v>57</v>
      </c>
      <c r="K187" s="2" t="s">
        <v>58</v>
      </c>
      <c r="L187" s="2" t="s">
        <v>55</v>
      </c>
    </row>
    <row r="188" spans="1:12" x14ac:dyDescent="0.2">
      <c r="A188">
        <v>187</v>
      </c>
      <c r="B188" t="s">
        <v>25</v>
      </c>
      <c r="C188" t="s">
        <v>23</v>
      </c>
      <c r="D188" t="s">
        <v>14</v>
      </c>
      <c r="E188" s="2" t="s">
        <v>91</v>
      </c>
      <c r="F188" s="2" t="s">
        <v>45</v>
      </c>
      <c r="G188" s="5">
        <v>0.04</v>
      </c>
      <c r="H188" s="2" t="s">
        <v>44</v>
      </c>
      <c r="I188" s="5">
        <f>10%*G188</f>
        <v>4.0000000000000001E-3</v>
      </c>
      <c r="J188" s="2" t="s">
        <v>65</v>
      </c>
      <c r="K188" s="2" t="s">
        <v>58</v>
      </c>
      <c r="L188" s="2" t="s">
        <v>83</v>
      </c>
    </row>
    <row r="189" spans="1:12" x14ac:dyDescent="0.2">
      <c r="A189">
        <v>188</v>
      </c>
      <c r="B189" t="s">
        <v>25</v>
      </c>
      <c r="C189" t="s">
        <v>23</v>
      </c>
      <c r="D189" t="s">
        <v>14</v>
      </c>
      <c r="E189" s="2" t="s">
        <v>91</v>
      </c>
      <c r="F189" s="2" t="s">
        <v>47</v>
      </c>
      <c r="G189" s="5">
        <v>0.1</v>
      </c>
      <c r="H189" s="2" t="s">
        <v>46</v>
      </c>
      <c r="I189" s="5">
        <f>G189</f>
        <v>0.1</v>
      </c>
      <c r="J189" s="2" t="s">
        <v>57</v>
      </c>
      <c r="K189" s="2" t="s">
        <v>67</v>
      </c>
      <c r="L189" s="2" t="s">
        <v>84</v>
      </c>
    </row>
    <row r="190" spans="1:12" x14ac:dyDescent="0.2">
      <c r="A190">
        <v>189</v>
      </c>
      <c r="B190" t="s">
        <v>25</v>
      </c>
      <c r="C190" t="s">
        <v>23</v>
      </c>
      <c r="D190" t="s">
        <v>14</v>
      </c>
      <c r="E190" s="2" t="s">
        <v>93</v>
      </c>
      <c r="F190" s="2" t="s">
        <v>40</v>
      </c>
      <c r="G190" s="5">
        <v>0.1</v>
      </c>
      <c r="H190" s="2" t="s">
        <v>75</v>
      </c>
      <c r="I190" s="5">
        <f>30%*G190</f>
        <v>0.03</v>
      </c>
      <c r="J190" s="2" t="s">
        <v>81</v>
      </c>
      <c r="K190" s="2" t="s">
        <v>74</v>
      </c>
      <c r="L190" s="2" t="s">
        <v>83</v>
      </c>
    </row>
    <row r="191" spans="1:12" x14ac:dyDescent="0.2">
      <c r="A191">
        <v>190</v>
      </c>
      <c r="B191" t="s">
        <v>25</v>
      </c>
      <c r="C191" t="s">
        <v>23</v>
      </c>
      <c r="D191" t="s">
        <v>14</v>
      </c>
      <c r="E191" s="2" t="s">
        <v>93</v>
      </c>
      <c r="F191" s="2" t="s">
        <v>53</v>
      </c>
      <c r="G191" s="5">
        <v>3.5000000000000003E-2</v>
      </c>
      <c r="H191" s="2" t="s">
        <v>75</v>
      </c>
      <c r="I191" s="5">
        <f>G191</f>
        <v>3.5000000000000003E-2</v>
      </c>
      <c r="J191" s="2" t="s">
        <v>57</v>
      </c>
      <c r="K191" s="2" t="s">
        <v>74</v>
      </c>
      <c r="L191" s="2" t="s">
        <v>83</v>
      </c>
    </row>
    <row r="192" spans="1:12" x14ac:dyDescent="0.2">
      <c r="A192">
        <v>191</v>
      </c>
      <c r="B192" t="s">
        <v>25</v>
      </c>
      <c r="C192" t="s">
        <v>23</v>
      </c>
      <c r="D192" t="s">
        <v>14</v>
      </c>
      <c r="E192" s="2" t="s">
        <v>93</v>
      </c>
      <c r="F192" s="2" t="s">
        <v>52</v>
      </c>
      <c r="G192" s="5">
        <v>0.3</v>
      </c>
      <c r="H192" s="2" t="s">
        <v>79</v>
      </c>
      <c r="I192" s="5">
        <f>20%*G192</f>
        <v>0.06</v>
      </c>
      <c r="J192" s="2" t="s">
        <v>80</v>
      </c>
      <c r="K192" s="2" t="s">
        <v>78</v>
      </c>
      <c r="L192" s="2" t="s">
        <v>83</v>
      </c>
    </row>
    <row r="193" spans="1:12" x14ac:dyDescent="0.2">
      <c r="A193">
        <v>192</v>
      </c>
      <c r="B193" t="s">
        <v>25</v>
      </c>
      <c r="C193" t="s">
        <v>23</v>
      </c>
      <c r="D193" t="s">
        <v>14</v>
      </c>
      <c r="E193" s="2" t="s">
        <v>93</v>
      </c>
      <c r="F193" s="2" t="s">
        <v>51</v>
      </c>
      <c r="G193" s="5">
        <v>0.35</v>
      </c>
      <c r="H193" s="2" t="s">
        <v>76</v>
      </c>
      <c r="I193" s="5">
        <f>15%*G193</f>
        <v>5.2499999999999998E-2</v>
      </c>
      <c r="J193" s="2" t="s">
        <v>77</v>
      </c>
      <c r="K193" s="2" t="s">
        <v>78</v>
      </c>
      <c r="L193" s="2" t="s">
        <v>88</v>
      </c>
    </row>
  </sheetData>
  <autoFilter ref="A1:P193" xr:uid="{5FCB6AA1-E1D2-494A-9F75-0BA9C35C4DE7}">
    <sortState xmlns:xlrd2="http://schemas.microsoft.com/office/spreadsheetml/2017/richdata2" ref="A2:P193">
      <sortCondition ref="A1:A193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Ясин</dc:creator>
  <cp:lastModifiedBy>Артём Ясин</cp:lastModifiedBy>
  <dcterms:created xsi:type="dcterms:W3CDTF">2025-11-27T03:49:06Z</dcterms:created>
  <dcterms:modified xsi:type="dcterms:W3CDTF">2025-11-28T13:01:42Z</dcterms:modified>
</cp:coreProperties>
</file>